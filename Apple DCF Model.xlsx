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d52af3bd467a42b/Documents/DCF Portfolio/"/>
    </mc:Choice>
  </mc:AlternateContent>
  <xr:revisionPtr revIDLastSave="395" documentId="8_{0CE0DC2C-5762-456A-936D-6234EEF185FA}" xr6:coauthVersionLast="47" xr6:coauthVersionMax="47" xr10:uidLastSave="{66E3BFDB-AD1A-4501-9F2E-F67320C8D21D}"/>
  <bookViews>
    <workbookView xWindow="-110" yWindow="-110" windowWidth="19420" windowHeight="11500" tabRatio="714" activeTab="1" xr2:uid="{FF41FB90-D512-452A-8185-1442315FEFD9}"/>
  </bookViews>
  <sheets>
    <sheet name="Summary" sheetId="2" r:id="rId1"/>
    <sheet name="DCF Model" sheetId="1" r:id="rId2"/>
    <sheet name="Sensitivity Analysis" sheetId="6" r:id="rId3"/>
    <sheet name="Investment Thesis" sheetId="4" r:id="rId4"/>
    <sheet name="Sources" sheetId="5" r:id="rId5"/>
    <sheet name="Analyst Disclaimer" sheetId="7" r:id="rId6"/>
    <sheet name="PowerBI_Data" sheetId="8" r:id="rId7"/>
    <sheet name="PowerBI_GlobalAssumptions" sheetId="9" r:id="rId8"/>
    <sheet name="PowerBI_ForecastAssumptions" sheetId="10" r:id="rId9"/>
    <sheet name="PowerBI_Valuation" sheetId="11" r:id="rId10"/>
    <sheet name="PowerBI_Summary" sheetId="12" r:id="rId11"/>
    <sheet name="PowerBI_ValuationBridge"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13" l="1"/>
  <c r="B3" i="13"/>
  <c r="D42" i="1"/>
  <c r="D44" i="1" s="1"/>
  <c r="D6" i="10"/>
  <c r="D5" i="10"/>
  <c r="D4" i="10"/>
  <c r="D3" i="10"/>
  <c r="D2" i="10"/>
  <c r="C6" i="10"/>
  <c r="C5" i="10"/>
  <c r="C4" i="10"/>
  <c r="C3" i="10"/>
  <c r="C2" i="10"/>
  <c r="B6" i="10"/>
  <c r="B5" i="10"/>
  <c r="B4" i="10"/>
  <c r="B3" i="10"/>
  <c r="B2" i="10"/>
  <c r="D40" i="1"/>
  <c r="B8" i="9"/>
  <c r="B6" i="9"/>
  <c r="B5" i="9"/>
  <c r="B4" i="9"/>
  <c r="E9" i="8"/>
  <c r="D9" i="8"/>
  <c r="C9" i="8"/>
  <c r="E8" i="8"/>
  <c r="D8" i="8"/>
  <c r="C8" i="8"/>
  <c r="E7" i="8"/>
  <c r="D7" i="8"/>
  <c r="C7" i="8"/>
  <c r="E6" i="8"/>
  <c r="D6" i="8"/>
  <c r="C6" i="8"/>
  <c r="D5" i="8"/>
  <c r="C5" i="8"/>
  <c r="E4" i="8"/>
  <c r="D4" i="8"/>
  <c r="C4" i="8"/>
  <c r="E3" i="8"/>
  <c r="D3" i="8"/>
  <c r="C3" i="8"/>
  <c r="E2" i="8"/>
  <c r="D2" i="8"/>
  <c r="C2" i="8"/>
  <c r="K8" i="2"/>
  <c r="T28" i="2" a="1"/>
  <c r="T28" i="2" s="1"/>
  <c r="E8" i="2" a="1"/>
  <c r="E8" i="2" s="1"/>
  <c r="A2" i="11" s="1"/>
  <c r="E23" i="2"/>
  <c r="E22" i="2"/>
  <c r="E21" i="2"/>
  <c r="E20" i="2"/>
  <c r="K9" i="2"/>
  <c r="K10" i="2"/>
  <c r="K11" i="2"/>
  <c r="K12" i="2"/>
  <c r="K13" i="2"/>
  <c r="D36" i="1" a="1"/>
  <c r="D36" i="1" s="1"/>
  <c r="B2" i="9" s="1"/>
  <c r="D37" i="1" a="1"/>
  <c r="D37" i="1" s="1"/>
  <c r="B3" i="9" s="1"/>
  <c r="D43" i="1"/>
  <c r="E14" i="2"/>
  <c r="E2" i="11" s="1"/>
  <c r="B6" i="1"/>
  <c r="B12" i="1"/>
  <c r="E5" i="1"/>
  <c r="F5" i="1" s="1"/>
  <c r="G5" i="1" s="1"/>
  <c r="H5" i="1" s="1"/>
  <c r="I5" i="1" s="1"/>
  <c r="I9" i="1" s="1"/>
  <c r="C17" i="1"/>
  <c r="C20" i="1" s="1"/>
  <c r="C14" i="1"/>
  <c r="D14" i="1"/>
  <c r="B14" i="1"/>
  <c r="D6" i="1"/>
  <c r="C12" i="1"/>
  <c r="D12" i="1"/>
  <c r="C6" i="1"/>
  <c r="D8" i="1"/>
  <c r="C8" i="1"/>
  <c r="B8" i="1"/>
  <c r="C21" i="1"/>
  <c r="D21" i="1"/>
  <c r="B21" i="1"/>
  <c r="B17" i="1"/>
  <c r="B20" i="1" s="1"/>
  <c r="D17" i="1"/>
  <c r="D20" i="1" s="1"/>
  <c r="B5" i="12" l="1"/>
  <c r="D45" i="1"/>
  <c r="B9" i="9" s="1"/>
  <c r="D46" i="1"/>
  <c r="B10" i="9" s="1"/>
  <c r="D39" i="1"/>
  <c r="B7" i="9" s="1"/>
  <c r="S5" i="2"/>
  <c r="K14" i="2"/>
  <c r="S6" i="2"/>
  <c r="S4" i="2"/>
  <c r="I10" i="1"/>
  <c r="I11" i="1" s="1"/>
  <c r="E17" i="1"/>
  <c r="H17" i="1"/>
  <c r="S10" i="2" s="1"/>
  <c r="G17" i="1"/>
  <c r="S9" i="2" s="1"/>
  <c r="F17" i="1"/>
  <c r="S8" i="2" s="1"/>
  <c r="I17" i="1"/>
  <c r="S11" i="2" s="1"/>
  <c r="F9" i="1"/>
  <c r="H9" i="1"/>
  <c r="E9" i="1"/>
  <c r="G9" i="1"/>
  <c r="S7" i="2" l="1"/>
  <c r="E5" i="8"/>
  <c r="D47" i="1"/>
  <c r="D50" i="1" s="1"/>
  <c r="E10" i="1"/>
  <c r="E11" i="1" s="1"/>
  <c r="H10" i="1"/>
  <c r="H11" i="1" s="1"/>
  <c r="F10" i="1"/>
  <c r="F11" i="1"/>
  <c r="G10" i="1"/>
  <c r="G11" i="1" s="1"/>
  <c r="G18" i="1" l="1"/>
  <c r="G19" i="1" s="1"/>
  <c r="F18" i="1"/>
  <c r="F19" i="1" s="1"/>
  <c r="B31" i="1"/>
  <c r="H18" i="1"/>
  <c r="H19" i="1" s="1"/>
  <c r="E18" i="1"/>
  <c r="E19" i="1" s="1"/>
  <c r="I18" i="1"/>
  <c r="D51" i="1" s="1"/>
  <c r="E19" i="2"/>
  <c r="E13" i="2"/>
  <c r="D2" i="11" s="1"/>
  <c r="F31" i="1"/>
  <c r="D31" i="1"/>
  <c r="C31" i="1"/>
  <c r="E31" i="1"/>
  <c r="I19" i="1" l="1"/>
  <c r="D52" i="1" s="1"/>
  <c r="B2" i="13" s="1"/>
  <c r="H27" i="2"/>
  <c r="D53" i="1" l="1"/>
  <c r="B5" i="13" s="1"/>
  <c r="B2" i="12"/>
  <c r="E11" i="2"/>
  <c r="H26" i="2"/>
  <c r="D54" i="1" l="1"/>
  <c r="B6" i="13" s="1"/>
  <c r="B3" i="12"/>
  <c r="E12" i="2"/>
  <c r="H28" i="2"/>
  <c r="R28" i="2" l="1"/>
  <c r="B4" i="12"/>
  <c r="B4" i="6"/>
  <c r="H29" i="2"/>
  <c r="E9" i="2" l="1"/>
  <c r="B2" i="11" l="1"/>
  <c r="E10" i="2"/>
  <c r="B6" i="12" s="1"/>
  <c r="C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kaleik cook</author>
  </authors>
  <commentList>
    <comment ref="B27" authorId="0" shapeId="0" xr:uid="{5CE9FDB8-76A6-4C2D-BB17-0348FD3E5582}">
      <text>
        <r>
          <rPr>
            <b/>
            <sz val="9"/>
            <color indexed="81"/>
            <rFont val="Tahoma"/>
            <charset val="1"/>
          </rPr>
          <t>kaleik cook:</t>
        </r>
        <r>
          <rPr>
            <sz val="9"/>
            <color indexed="81"/>
            <rFont val="Tahoma"/>
            <charset val="1"/>
          </rPr>
          <t xml:space="preserve">
FY2026 revenue forecast reflects actual Q1 and Q2 FY2026 performance and assumes continued momentum through the second half of the fiscal year.</t>
        </r>
      </text>
    </comment>
    <comment ref="B31" authorId="0" shapeId="0" xr:uid="{9CD8302F-4F4D-4868-A419-79535053B17D}">
      <text>
        <r>
          <rPr>
            <b/>
            <sz val="9"/>
            <color indexed="81"/>
            <rFont val="Tahoma"/>
            <charset val="1"/>
          </rPr>
          <t>kaleik cook:</t>
        </r>
        <r>
          <rPr>
            <sz val="9"/>
            <color indexed="81"/>
            <rFont val="Tahoma"/>
            <charset val="1"/>
          </rPr>
          <t xml:space="preserve">
WACC calculated using CAPM-derived cost of equity, estimated cost of debt, tax rate, and market value capital structure.</t>
        </r>
      </text>
    </comment>
    <comment ref="B32" authorId="0" shapeId="0" xr:uid="{809D852A-7777-47CB-BAEC-F39AC4EFE20B}">
      <text>
        <r>
          <rPr>
            <b/>
            <sz val="9"/>
            <color indexed="81"/>
            <rFont val="Tahoma"/>
            <charset val="1"/>
          </rPr>
          <t>kaleik cook:</t>
        </r>
        <r>
          <rPr>
            <sz val="9"/>
            <color indexed="81"/>
            <rFont val="Tahoma"/>
            <charset val="1"/>
          </rPr>
          <t xml:space="preserve">
Terminal growth rate assumes Apple grows modestly above long-term inflation but below aggressive high-growth technology assumptions.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<sst xmlns="http://schemas.openxmlformats.org/spreadsheetml/2006/main" count="209" uniqueCount="129">
  <si>
    <t>Revenue</t>
  </si>
  <si>
    <t>Revenue Growth %</t>
  </si>
  <si>
    <t>Gross Profit</t>
  </si>
  <si>
    <t>Gross Margin %</t>
  </si>
  <si>
    <t>Operating Income</t>
  </si>
  <si>
    <t>Operating Margin %</t>
  </si>
  <si>
    <t>Net Income</t>
  </si>
  <si>
    <t>Operating Cash Flow</t>
  </si>
  <si>
    <t>Capital Expenditures</t>
  </si>
  <si>
    <t>Free Cash Flow</t>
  </si>
  <si>
    <t>Cash &amp; Marketable Securities</t>
  </si>
  <si>
    <t>Total Debt</t>
  </si>
  <si>
    <t>Shares Outstanding</t>
  </si>
  <si>
    <t>2023A</t>
  </si>
  <si>
    <t>2024A</t>
  </si>
  <si>
    <t>2025A</t>
  </si>
  <si>
    <t>($ in millions except per-share data)</t>
  </si>
  <si>
    <t>Net Margin %</t>
  </si>
  <si>
    <t>FCF Margin %</t>
  </si>
  <si>
    <t>Apple Inc. DCF Valuation</t>
  </si>
  <si>
    <t>Tax Rate %</t>
  </si>
  <si>
    <t>WACC</t>
  </si>
  <si>
    <t>Terminal Growth Rate</t>
  </si>
  <si>
    <t>2026E</t>
  </si>
  <si>
    <t>2027E</t>
  </si>
  <si>
    <t>2028E</t>
  </si>
  <si>
    <t>2029E</t>
  </si>
  <si>
    <t>2030E</t>
  </si>
  <si>
    <t>Taxes</t>
  </si>
  <si>
    <t>NOPAT</t>
  </si>
  <si>
    <t>Risk-Free Rate</t>
  </si>
  <si>
    <t>Beta</t>
  </si>
  <si>
    <t>Equity Risk Premium</t>
  </si>
  <si>
    <t>Cost of Equity</t>
  </si>
  <si>
    <t>Value</t>
  </si>
  <si>
    <t>Cost of Debt</t>
  </si>
  <si>
    <t>Tax Rate</t>
  </si>
  <si>
    <t>Market Value of Equity</t>
  </si>
  <si>
    <t>Market Value of Debt</t>
  </si>
  <si>
    <t>Total Capital</t>
  </si>
  <si>
    <t>Equity Weight</t>
  </si>
  <si>
    <t>Debt Weight</t>
  </si>
  <si>
    <t>Discount Factor</t>
  </si>
  <si>
    <t>PV of FCF</t>
  </si>
  <si>
    <t>Terminal Value</t>
  </si>
  <si>
    <t>Enterprise Value</t>
  </si>
  <si>
    <t>PV of Terminal Value</t>
  </si>
  <si>
    <t>Equity Value</t>
  </si>
  <si>
    <t>Intrinsic Value Per Share</t>
  </si>
  <si>
    <t>Apple Inc. (AAPL)</t>
  </si>
  <si>
    <t>Discounted Cash Flow Valuation</t>
  </si>
  <si>
    <t>Prepared by: Kaleik Cook</t>
  </si>
  <si>
    <t>Date: June 2026</t>
  </si>
  <si>
    <t>Key Output</t>
  </si>
  <si>
    <t>Current Share Price</t>
  </si>
  <si>
    <t xml:space="preserve">Intrinsic Value Per Share </t>
  </si>
  <si>
    <t xml:space="preserve">Terminal Growth Rate </t>
  </si>
  <si>
    <t>Implied Upside / Downside</t>
  </si>
  <si>
    <t>Model Conclusion</t>
  </si>
  <si>
    <t>HISTORICAL FINANCIALS</t>
  </si>
  <si>
    <t>FORECAST ASSUMPTIONS</t>
  </si>
  <si>
    <t>Input</t>
  </si>
  <si>
    <t>Valuation Output</t>
  </si>
  <si>
    <t>FORECAST FINANCIALS</t>
  </si>
  <si>
    <t>WACC BUILD</t>
  </si>
  <si>
    <t>Year</t>
  </si>
  <si>
    <t>FCF Chart Data</t>
  </si>
  <si>
    <t>Valuation Bridge Date</t>
  </si>
  <si>
    <t>Component</t>
  </si>
  <si>
    <t>PV of Forecast FCF</t>
  </si>
  <si>
    <t>Source</t>
  </si>
  <si>
    <t>Use</t>
  </si>
  <si>
    <t>Historical financials, cash, debt, shares</t>
  </si>
  <si>
    <t>Year-to-date revenue, operating income, free cash flow</t>
  </si>
  <si>
    <t>Beta and current share price</t>
  </si>
  <si>
    <t>10-Year Treasury yield</t>
  </si>
  <si>
    <t>AAPL 10-K</t>
  </si>
  <si>
    <t>AAPL Q1 10-Q</t>
  </si>
  <si>
    <t>AAPL Q2 10-Q</t>
  </si>
  <si>
    <t>Yahoo Finance</t>
  </si>
  <si>
    <t>TreasuryDirect</t>
  </si>
  <si>
    <t>Damodaran Online</t>
  </si>
  <si>
    <t>Recommendation</t>
  </si>
  <si>
    <t>Model Notes:</t>
  </si>
  <si>
    <t>Valuation date: June 2026</t>
  </si>
  <si>
    <t>FY2026 forecast incorporates actual Q1 and Q2 FY2026 results.</t>
  </si>
  <si>
    <t>WACC derived using CAPM methodology.</t>
  </si>
  <si>
    <t>Beta sourced from Yahoo Finance.</t>
  </si>
  <si>
    <t>Equity Risk Premium sourced from Aswath Damodaran.</t>
  </si>
  <si>
    <t>Risk-Free Rate based on the U.S. 10-Year Treasury Yield.</t>
  </si>
  <si>
    <t>Terminal growth reflects long-term inflation and GDP growth expectations.</t>
  </si>
  <si>
    <t>Key Assumptions</t>
  </si>
  <si>
    <t>Assumption</t>
  </si>
  <si>
    <t>Terminal Growth</t>
  </si>
  <si>
    <t>FY2026 Revenue Growth</t>
  </si>
  <si>
    <t>FY2026 Operating Margin</t>
  </si>
  <si>
    <t>FY2026 FCF Margin</t>
  </si>
  <si>
    <t>Sensitivity Analysis Table</t>
  </si>
  <si>
    <r>
      <t xml:space="preserve">TGR </t>
    </r>
    <r>
      <rPr>
        <b/>
        <sz val="12"/>
        <color theme="1"/>
        <rFont val="Aptos Narrow"/>
        <family val="2"/>
      </rPr>
      <t>↓</t>
    </r>
    <r>
      <rPr>
        <b/>
        <sz val="12"/>
        <color theme="1"/>
        <rFont val="Aptos Narrow"/>
        <family val="2"/>
        <scheme val="minor"/>
      </rPr>
      <t xml:space="preserve"> vs. WACC </t>
    </r>
    <r>
      <rPr>
        <b/>
        <sz val="12"/>
        <color theme="1"/>
        <rFont val="Aptos Narrow"/>
        <family val="2"/>
      </rPr>
      <t>→</t>
    </r>
  </si>
  <si>
    <t>Moderately Overvalued</t>
  </si>
  <si>
    <t>Market Value</t>
  </si>
  <si>
    <t>Intrinsic Value</t>
  </si>
  <si>
    <t>Period Type</t>
  </si>
  <si>
    <t>Historical</t>
  </si>
  <si>
    <t>Forecast</t>
  </si>
  <si>
    <t>Unit</t>
  </si>
  <si>
    <t>Description</t>
  </si>
  <si>
    <t>Percent</t>
  </si>
  <si>
    <t>Multiple</t>
  </si>
  <si>
    <t>Revenue Growth</t>
  </si>
  <si>
    <t>Operating Margin</t>
  </si>
  <si>
    <t>FCF Margin</t>
  </si>
  <si>
    <t>Yield on the 10-year U.S. Treasury used as the baseline return for calculating the cost of equity.</t>
  </si>
  <si>
    <t>Measures Apple's stock volatility relative to the overall market and is used to estimate investment risk.</t>
  </si>
  <si>
    <t>Additional return investors expect for investing in equities instead of risk-free securities.</t>
  </si>
  <si>
    <t>Effective corporate tax rate applied throughout the valuation to estimate after-tax cash flows.</t>
  </si>
  <si>
    <t>Long-term annual growth rate assumed after the explicit forecast period ends.</t>
  </si>
  <si>
    <t>Expected return required by equity investors based on the Capital Asset Pricing Model (CAPM).</t>
  </si>
  <si>
    <t>Effective interest rate Apple is expected to pay on its outstanding debt, adjusted for taxes in the WACC calculation.</t>
  </si>
  <si>
    <t>Percentage of the company's capital structure financed through equity.</t>
  </si>
  <si>
    <t>Percentage of the company's capital structure financed through debt.</t>
  </si>
  <si>
    <t>Upside</t>
  </si>
  <si>
    <t>Metric</t>
  </si>
  <si>
    <t>Intrinsic Value / Share</t>
  </si>
  <si>
    <t>Current Market Price</t>
  </si>
  <si>
    <t>Upside / Downside</t>
  </si>
  <si>
    <t>Step</t>
  </si>
  <si>
    <t>Cash</t>
  </si>
  <si>
    <t>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</si>
</sst>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_);_(* \(#,##0\);_(* &quot;-&quot;??_);_(@_)"/>
    <numFmt numFmtId="165" formatCode="0.0%"/>
    <numFmt numFmtId="166" formatCode=";;;"/>
    <numFmt numFmtId="167" formatCode="&quot;$&quot;#,##0.00"/>
    <numFmt numFmtId="168" formatCode="_([$$-409]* #,##0.00_);_([$$-409]* \(#,##0.00\);_([$$-409]* &quot;-&quot;??_);_(@_)"/>
    <numFmt numFmtId="169" formatCode="_(&quot;$&quot;* #,##0_);_(&quot;$&quot;* \(#,##0\);_(&quot;$&quot;* &quot;-&quot;??_);_(@_)"/>
  </numFmts>
  <fonts count="18">
    <font>
      <sz val="11"/>
      <color theme="1"/>
      <name val="Aptos Narrow"/>
      <family val="2"/>
      <scheme val="minor"/>
    </font>
    <font>
      <sz val="11"/>
      <color theme="1"/>
      <name val="Aptos Narrow"/>
      <family val="2"/>
      <scheme val="minor"/>
    </font>
    <font>
      <sz val="11"/>
      <color theme="3"/>
      <name val="Aptos Narrow"/>
      <family val="2"/>
      <scheme val="minor"/>
    </font>
    <font>
      <b/>
      <sz val="11"/>
      <color theme="1"/>
      <name val="Aptos Narrow"/>
      <family val="2"/>
      <scheme val="minor"/>
    </font>
    <font>
      <sz val="10"/>
      <color theme="1"/>
      <name val="Arial Unicode MS"/>
    </font>
    <font>
      <sz val="11"/>
      <color theme="1"/>
      <name val="Medium"/>
    </font>
    <font>
      <i/>
      <sz val="10"/>
      <color theme="1"/>
      <name val="E.g."/>
    </font>
    <font>
      <b/>
      <sz val="16"/>
      <color theme="1"/>
      <name val="Aptos Narrow"/>
      <family val="2"/>
      <scheme val="minor"/>
    </font>
    <font>
      <sz val="14"/>
      <color theme="1"/>
      <name val="Large"/>
    </font>
    <font>
      <u/>
      <sz val="11"/>
      <color theme="10"/>
      <name val="Aptos Narrow"/>
      <family val="2"/>
      <scheme val="minor"/>
    </font>
    <font>
      <sz val="11"/>
      <name val="Aptos Narrow"/>
      <family val="2"/>
      <scheme val="minor"/>
    </font>
    <font>
      <b/>
      <sz val="12"/>
      <color theme="1"/>
      <name val="Aptos Narrow"/>
      <family val="2"/>
      <scheme val="minor"/>
    </font>
    <font>
      <sz val="20"/>
      <color theme="0"/>
      <name val="Aptos Narrow"/>
      <family val="2"/>
      <scheme val="minor"/>
    </font>
    <font>
      <sz val="16"/>
      <color theme="0"/>
      <name val="Aptos Narrow"/>
      <family val="2"/>
      <scheme val="minor"/>
    </font>
    <font>
      <sz val="9"/>
      <color indexed="81"/>
      <name val="Tahoma"/>
      <charset val="1"/>
    </font>
    <font>
      <b/>
      <sz val="9"/>
      <color indexed="81"/>
      <name val="Tahoma"/>
      <charset val="1"/>
    </font>
    <font>
      <sz val="14"/>
      <color theme="1"/>
      <name val="Aptos Narrow"/>
      <family val="2"/>
      <scheme val="minor"/>
    </font>
    <font>
      <b/>
      <sz val="12"/>
      <color theme="1"/>
      <name val="Aptos Narrow"/>
      <family val="2"/>
    </font>
  </fonts>
  <fills count="6">
    <fill>
      <patternFill patternType="none"/>
    </fill>
    <fill>
      <patternFill patternType="gray125"/>
    </fill>
    <fill>
      <patternFill patternType="solid">
        <fgColor theme="3"/>
        <bgColor indexed="64"/>
      </patternFill>
    </fill>
    <fill>
      <patternFill patternType="solid">
        <fgColor theme="6"/>
        <bgColor indexed="64"/>
      </patternFill>
    </fill>
    <fill>
      <patternFill patternType="solid">
        <fgColor theme="9"/>
        <bgColor indexed="64"/>
      </patternFill>
    </fill>
    <fill>
      <patternFill patternType="solid">
        <fgColor rgb="FF99CCFF"/>
        <bgColor indexed="64"/>
      </patternFill>
    </fill>
  </fills>
  <borders count="19">
    <border>
      <left/>
      <right/>
      <top/>
      <bottom/>
      <diagonal/>
    </border>
    <border>
      <left/>
      <right/>
      <top/>
      <bottom style="thin">
        <color indexed="64"/>
      </bottom>
      <diagonal/>
    </border>
    <border>
      <left/>
      <right/>
      <top/>
      <bottom style="thin">
        <color theme="2" tint="-0.89999084444715716"/>
      </bottom>
      <diagonal/>
    </border>
    <border>
      <left style="medium">
        <color theme="2" tint="-0.89999084444715716"/>
      </left>
      <right/>
      <top style="medium">
        <color theme="2" tint="-0.89999084444715716"/>
      </top>
      <bottom/>
      <diagonal/>
    </border>
    <border>
      <left/>
      <right/>
      <top style="medium">
        <color theme="2" tint="-0.89999084444715716"/>
      </top>
      <bottom/>
      <diagonal/>
    </border>
    <border>
      <left/>
      <right style="medium">
        <color theme="2" tint="-0.89999084444715716"/>
      </right>
      <top style="medium">
        <color theme="2" tint="-0.89999084444715716"/>
      </top>
      <bottom/>
      <diagonal/>
    </border>
    <border>
      <left style="medium">
        <color theme="2" tint="-0.89999084444715716"/>
      </left>
      <right/>
      <top/>
      <bottom/>
      <diagonal/>
    </border>
    <border>
      <left/>
      <right style="medium">
        <color theme="2" tint="-0.89999084444715716"/>
      </right>
      <top/>
      <bottom/>
      <diagonal/>
    </border>
    <border>
      <left style="medium">
        <color theme="2" tint="-0.89999084444715716"/>
      </left>
      <right/>
      <top/>
      <bottom style="medium">
        <color theme="2" tint="-0.89999084444715716"/>
      </bottom>
      <diagonal/>
    </border>
    <border>
      <left/>
      <right/>
      <top/>
      <bottom style="medium">
        <color theme="2" tint="-0.89999084444715716"/>
      </bottom>
      <diagonal/>
    </border>
    <border>
      <left/>
      <right style="medium">
        <color theme="2" tint="-0.89999084444715716"/>
      </right>
      <top/>
      <bottom style="medium">
        <color theme="2" tint="-0.89999084444715716"/>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85">
    <xf numFmtId="0" fontId="0" fillId="0" borderId="0" xfId="0"/>
    <xf numFmtId="164" fontId="0" fillId="0" borderId="0" xfId="1" applyNumberFormat="1" applyFont="1"/>
    <xf numFmtId="164" fontId="0" fillId="0" borderId="0" xfId="0" applyNumberFormat="1"/>
    <xf numFmtId="165" fontId="0" fillId="0" borderId="0" xfId="3" applyNumberFormat="1" applyFont="1"/>
    <xf numFmtId="10" fontId="0" fillId="0" borderId="0" xfId="3" applyNumberFormat="1" applyFont="1"/>
    <xf numFmtId="0" fontId="2" fillId="0" borderId="0" xfId="0" applyFont="1"/>
    <xf numFmtId="10" fontId="0" fillId="0" borderId="0" xfId="0" applyNumberFormat="1"/>
    <xf numFmtId="165" fontId="0" fillId="0" borderId="0" xfId="0" applyNumberFormat="1"/>
    <xf numFmtId="44" fontId="0" fillId="0" borderId="0" xfId="2" applyFont="1"/>
    <xf numFmtId="44" fontId="0" fillId="0" borderId="0" xfId="0" applyNumberFormat="1"/>
    <xf numFmtId="0" fontId="5" fillId="0" borderId="0" xfId="0" applyFont="1"/>
    <xf numFmtId="0" fontId="6" fillId="0" borderId="0" xfId="0" applyFont="1"/>
    <xf numFmtId="0" fontId="7" fillId="0" borderId="0" xfId="0" applyFont="1"/>
    <xf numFmtId="0" fontId="8" fillId="0" borderId="0" xfId="0" applyFont="1"/>
    <xf numFmtId="0" fontId="4" fillId="0" borderId="1" xfId="0" applyFont="1" applyBorder="1" applyAlignment="1">
      <alignment vertical="center"/>
    </xf>
    <xf numFmtId="0" fontId="0" fillId="0" borderId="1" xfId="0" applyBorder="1"/>
    <xf numFmtId="0" fontId="0" fillId="0" borderId="2" xfId="0" applyBorder="1"/>
    <xf numFmtId="0" fontId="3" fillId="0" borderId="0" xfId="0" applyFont="1"/>
    <xf numFmtId="164" fontId="10" fillId="0" borderId="0" xfId="0" applyNumberFormat="1" applyFont="1"/>
    <xf numFmtId="165" fontId="10" fillId="0" borderId="0" xfId="0" applyNumberFormat="1" applyFont="1"/>
    <xf numFmtId="165" fontId="10" fillId="0" borderId="0" xfId="3" applyNumberFormat="1" applyFont="1"/>
    <xf numFmtId="9" fontId="10" fillId="0" borderId="0" xfId="0" applyNumberFormat="1" applyFont="1"/>
    <xf numFmtId="10" fontId="10" fillId="0" borderId="0" xfId="0" applyNumberFormat="1" applyFont="1"/>
    <xf numFmtId="164" fontId="2" fillId="0" borderId="0" xfId="1" applyNumberFormat="1" applyFont="1"/>
    <xf numFmtId="10" fontId="2" fillId="0" borderId="0" xfId="3" applyNumberFormat="1" applyFont="1"/>
    <xf numFmtId="9" fontId="2" fillId="0" borderId="0" xfId="3" applyFont="1"/>
    <xf numFmtId="44" fontId="2" fillId="0" borderId="0" xfId="2" applyFont="1"/>
    <xf numFmtId="3" fontId="2" fillId="0" borderId="0" xfId="0" applyNumberFormat="1" applyFont="1" applyAlignment="1">
      <alignment horizontal="right"/>
    </xf>
    <xf numFmtId="0" fontId="0" fillId="0" borderId="6" xfId="0" applyBorder="1"/>
    <xf numFmtId="10" fontId="0" fillId="0" borderId="7" xfId="3" applyNumberFormat="1" applyFont="1" applyBorder="1"/>
    <xf numFmtId="4" fontId="0" fillId="0" borderId="7" xfId="0" applyNumberFormat="1" applyBorder="1"/>
    <xf numFmtId="10" fontId="0" fillId="0" borderId="7" xfId="0" applyNumberFormat="1" applyBorder="1"/>
    <xf numFmtId="9" fontId="0" fillId="0" borderId="7" xfId="0" applyNumberFormat="1" applyBorder="1"/>
    <xf numFmtId="0" fontId="0" fillId="0" borderId="7" xfId="0" applyBorder="1"/>
    <xf numFmtId="164" fontId="0" fillId="0" borderId="7" xfId="0" applyNumberFormat="1" applyBorder="1"/>
    <xf numFmtId="0" fontId="0" fillId="0" borderId="8" xfId="0" applyBorder="1"/>
    <xf numFmtId="0" fontId="0" fillId="0" borderId="9" xfId="0" applyBorder="1"/>
    <xf numFmtId="0" fontId="11" fillId="0" borderId="0" xfId="0" applyFont="1"/>
    <xf numFmtId="3" fontId="2" fillId="0" borderId="0" xfId="1" applyNumberFormat="1" applyFont="1"/>
    <xf numFmtId="3" fontId="2" fillId="0" borderId="0" xfId="0" applyNumberFormat="1" applyFont="1"/>
    <xf numFmtId="164" fontId="0" fillId="0" borderId="7" xfId="1" applyNumberFormat="1" applyFont="1" applyBorder="1"/>
    <xf numFmtId="10" fontId="0" fillId="0" borderId="10" xfId="0" applyNumberFormat="1" applyBorder="1" applyAlignment="1">
      <alignment horizontal="right"/>
    </xf>
    <xf numFmtId="0" fontId="9" fillId="0" borderId="0" xfId="4"/>
    <xf numFmtId="0" fontId="0" fillId="0" borderId="0" xfId="0" applyAlignment="1">
      <alignment horizontal="center"/>
    </xf>
    <xf numFmtId="165" fontId="0" fillId="0" borderId="0" xfId="3" applyNumberFormat="1" applyFont="1" applyAlignment="1">
      <alignment horizontal="right"/>
    </xf>
    <xf numFmtId="0" fontId="0" fillId="0" borderId="0" xfId="0" applyAlignment="1">
      <alignment horizontal="left" vertical="center" indent="1"/>
    </xf>
    <xf numFmtId="166" fontId="0" fillId="0" borderId="0" xfId="0" applyNumberFormat="1"/>
    <xf numFmtId="167" fontId="0" fillId="0" borderId="0" xfId="0" applyNumberFormat="1"/>
    <xf numFmtId="167" fontId="0" fillId="0" borderId="0" xfId="3" applyNumberFormat="1" applyFont="1"/>
    <xf numFmtId="0" fontId="16" fillId="0" borderId="0" xfId="0" applyFont="1"/>
    <xf numFmtId="0" fontId="0" fillId="5" borderId="11" xfId="0" applyFill="1" applyBorder="1"/>
    <xf numFmtId="0" fontId="0" fillId="5" borderId="14" xfId="0" applyFill="1" applyBorder="1"/>
    <xf numFmtId="167" fontId="0" fillId="0" borderId="14" xfId="0" applyNumberFormat="1" applyBorder="1"/>
    <xf numFmtId="10" fontId="0" fillId="0" borderId="0" xfId="3" applyNumberFormat="1" applyFont="1" applyBorder="1">
      <extLst>
        <ext xmlns:xfpb="http://schemas.microsoft.com/office/spreadsheetml/2022/featurepropertybag" uri="{C7286773-470A-42A8-94C5-96B5CB345126}">
          <xfpb:xfComplement i="0"/>
        </ext>
      </extLst>
    </xf>
    <xf numFmtId="10" fontId="0" fillId="0" borderId="15" xfId="3" applyNumberFormat="1" applyFont="1" applyBorder="1">
      <extLst>
        <ext xmlns:xfpb="http://schemas.microsoft.com/office/spreadsheetml/2022/featurepropertybag" uri="{C7286773-470A-42A8-94C5-96B5CB345126}">
          <xfpb:xfComplement i="0"/>
        </ext>
      </extLst>
    </xf>
    <xf numFmtId="10" fontId="0" fillId="0" borderId="14" xfId="3" applyNumberFormat="1" applyFont="1" applyBorder="1"/>
    <xf numFmtId="167" fontId="0" fillId="0" borderId="15" xfId="0" applyNumberFormat="1" applyBorder="1"/>
    <xf numFmtId="10" fontId="0" fillId="0" borderId="16" xfId="3" applyNumberFormat="1" applyFont="1" applyBorder="1"/>
    <xf numFmtId="167" fontId="0" fillId="0" borderId="17" xfId="0" applyNumberFormat="1" applyBorder="1"/>
    <xf numFmtId="167" fontId="0" fillId="0" borderId="18" xfId="0" applyNumberFormat="1" applyBorder="1"/>
    <xf numFmtId="0" fontId="0" fillId="0" borderId="0" xfId="0" applyAlignment="1">
      <alignment horizontal="right"/>
    </xf>
    <xf numFmtId="0" fontId="0" fillId="0" borderId="0" xfId="0" applyProtection="1">
      <protection hidden="1"/>
    </xf>
    <xf numFmtId="168" fontId="0" fillId="0" borderId="0" xfId="0" applyNumberFormat="1"/>
    <xf numFmtId="4" fontId="0" fillId="0" borderId="0" xfId="0" applyNumberFormat="1"/>
    <xf numFmtId="9" fontId="0" fillId="0" borderId="0" xfId="0" applyNumberFormat="1"/>
    <xf numFmtId="9" fontId="0" fillId="0" borderId="0" xfId="3" applyFont="1"/>
    <xf numFmtId="43" fontId="0" fillId="0" borderId="0" xfId="1" applyFont="1"/>
    <xf numFmtId="169" fontId="0" fillId="0" borderId="0" xfId="2" applyNumberFormat="1" applyFont="1"/>
    <xf numFmtId="0" fontId="16" fillId="5" borderId="12" xfId="0" applyFont="1" applyFill="1" applyBorder="1" applyAlignment="1">
      <alignment horizontal="center"/>
    </xf>
    <xf numFmtId="0" fontId="16" fillId="5" borderId="13" xfId="0" applyFont="1" applyFill="1" applyBorder="1" applyAlignment="1">
      <alignment horizontal="center"/>
    </xf>
    <xf numFmtId="0" fontId="11" fillId="5" borderId="0" xfId="0" applyFont="1" applyFill="1" applyAlignment="1">
      <alignment horizontal="center"/>
    </xf>
    <xf numFmtId="0" fontId="11" fillId="5" borderId="15" xfId="0" applyFont="1" applyFill="1" applyBorder="1" applyAlignment="1">
      <alignment horizontal="center"/>
    </xf>
    <xf numFmtId="0" fontId="0" fillId="0" borderId="0" xfId="0" applyAlignment="1">
      <alignment horizontal="center"/>
    </xf>
    <xf numFmtId="0" fontId="13" fillId="2" borderId="0" xfId="0" applyFont="1" applyFill="1" applyAlignment="1">
      <alignment horizontal="center"/>
    </xf>
    <xf numFmtId="0" fontId="13" fillId="4" borderId="0" xfId="0" applyFont="1" applyFill="1" applyAlignment="1">
      <alignment horizontal="center"/>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5" xfId="0" applyFont="1" applyFill="1" applyBorder="1" applyAlignment="1">
      <alignment horizontal="center"/>
    </xf>
    <xf numFmtId="164" fontId="13" fillId="3" borderId="0" xfId="0" applyNumberFormat="1" applyFont="1" applyFill="1" applyAlignment="1">
      <alignment horizontal="center"/>
    </xf>
    <xf numFmtId="0" fontId="13" fillId="5" borderId="3" xfId="0" applyFont="1" applyFill="1" applyBorder="1" applyAlignment="1">
      <alignment horizontal="center"/>
    </xf>
    <xf numFmtId="0" fontId="13" fillId="5" borderId="4" xfId="0" applyFont="1" applyFill="1" applyBorder="1" applyAlignment="1">
      <alignment horizontal="center"/>
    </xf>
    <xf numFmtId="0" fontId="13" fillId="5" borderId="5" xfId="0" applyFont="1" applyFill="1" applyBorder="1" applyAlignment="1">
      <alignment horizontal="center"/>
    </xf>
    <xf numFmtId="0" fontId="12" fillId="5" borderId="8" xfId="0" applyFont="1" applyFill="1" applyBorder="1"/>
    <xf numFmtId="0" fontId="12" fillId="5" borderId="9" xfId="0" applyFont="1" applyFill="1" applyBorder="1"/>
    <xf numFmtId="44" fontId="12" fillId="5" borderId="10" xfId="0" applyNumberFormat="1" applyFont="1" applyFill="1" applyBorder="1"/>
  </cellXfs>
  <cellStyles count="5">
    <cellStyle name="Comma" xfId="1" builtinId="3"/>
    <cellStyle name="Currency" xfId="2" builtinId="4"/>
    <cellStyle name="Hyperlink" xfId="4" builtinId="8"/>
    <cellStyle name="Normal" xfId="0" builtinId="0"/>
    <cellStyle name="Percent" xfId="3" builtinId="5"/>
  </cellStyles>
  <dxfs count="15">
    <dxf>
      <font>
        <b val="0"/>
        <i val="0"/>
        <strike val="0"/>
        <condense val="0"/>
        <extend val="0"/>
        <outline val="0"/>
        <shadow val="0"/>
        <u val="none"/>
        <vertAlign val="baseline"/>
        <sz val="11"/>
        <color theme="1"/>
        <name val="Aptos Narrow"/>
        <family val="2"/>
        <scheme val="minor"/>
      </font>
      <numFmt numFmtId="169"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0.0%"/>
    </dxf>
    <dxf>
      <numFmt numFmtId="14" formatCode="0.00%"/>
    </dxf>
    <dxf>
      <font>
        <b val="0"/>
        <i val="0"/>
        <strike val="0"/>
        <condense val="0"/>
        <extend val="0"/>
        <outline val="0"/>
        <shadow val="0"/>
        <u val="none"/>
        <vertAlign val="baseline"/>
        <sz val="11"/>
        <color theme="1"/>
        <name val="Aptos Narrow"/>
        <family val="2"/>
        <scheme val="minor"/>
      </font>
      <numFmt numFmtId="165" formatCode="0.0%"/>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dxf>
    <dxf>
      <numFmt numFmtId="14" formatCode="0.00%"/>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Revenue: Historical and 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Summary!$K$7</c:f>
              <c:strCache>
                <c:ptCount val="1"/>
                <c:pt idx="0">
                  <c:v>Revenue</c:v>
                </c:pt>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cat>
            <c:strRef>
              <c:f>Summary!$J$8:$J$16</c:f>
              <c:strCache>
                <c:ptCount val="6"/>
                <c:pt idx="0">
                  <c:v>2023A</c:v>
                </c:pt>
                <c:pt idx="1">
                  <c:v>2024A</c:v>
                </c:pt>
                <c:pt idx="2">
                  <c:v>2025A</c:v>
                </c:pt>
                <c:pt idx="3">
                  <c:v>2026E</c:v>
                </c:pt>
                <c:pt idx="4">
                  <c:v>2027E</c:v>
                </c:pt>
                <c:pt idx="5">
                  <c:v>2028E</c:v>
                </c:pt>
              </c:strCache>
            </c:strRef>
          </c:cat>
          <c:val>
            <c:numRef>
              <c:f>Summary!$K$8:$K$16</c:f>
              <c:numCache>
                <c:formatCode>General</c:formatCode>
                <c:ptCount val="9"/>
                <c:pt idx="0">
                  <c:v>383285</c:v>
                </c:pt>
                <c:pt idx="1">
                  <c:v>391035</c:v>
                </c:pt>
                <c:pt idx="2">
                  <c:v>416161</c:v>
                </c:pt>
                <c:pt idx="3">
                  <c:v>499809.36100000003</c:v>
                </c:pt>
                <c:pt idx="4">
                  <c:v>541793.34732400009</c:v>
                </c:pt>
                <c:pt idx="5">
                  <c:v>577551.70824738417</c:v>
                </c:pt>
                <c:pt idx="6" formatCode=";;;">
                  <c:v>609317.05220099026</c:v>
                </c:pt>
                <c:pt idx="7" formatCode=";;;">
                  <c:v>633690</c:v>
                </c:pt>
              </c:numCache>
            </c:numRef>
          </c:val>
          <c:smooth val="0"/>
          <c:extLst>
            <c:ext xmlns:c16="http://schemas.microsoft.com/office/drawing/2014/chart" uri="{C3380CC4-5D6E-409C-BE32-E72D297353CC}">
              <c16:uniqueId val="{00000000-6E11-4C0E-9E76-0C9BBB6161E4}"/>
            </c:ext>
          </c:extLst>
        </c:ser>
        <c:dLbls>
          <c:showLegendKey val="0"/>
          <c:showVal val="0"/>
          <c:showCatName val="0"/>
          <c:showSerName val="0"/>
          <c:showPercent val="0"/>
          <c:showBubbleSize val="0"/>
        </c:dLbls>
        <c:marker val="1"/>
        <c:smooth val="0"/>
        <c:axId val="1809300335"/>
        <c:axId val="1809318095"/>
      </c:lineChart>
      <c:catAx>
        <c:axId val="1809300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FY2026 forecast incorporates actual Q1 and Q2 FY2026 results.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18095"/>
        <c:crosses val="autoZero"/>
        <c:auto val="1"/>
        <c:lblAlgn val="ctr"/>
        <c:lblOffset val="100"/>
        <c:noMultiLvlLbl val="0"/>
      </c:catAx>
      <c:valAx>
        <c:axId val="1809318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 in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003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 Free Cash Flow: Historical and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Summary!$S$3</c:f>
              <c:strCache>
                <c:ptCount val="1"/>
                <c:pt idx="0">
                  <c:v>Free Cash Flow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Summary!$R$4:$R$11</c:f>
              <c:strCache>
                <c:ptCount val="8"/>
                <c:pt idx="0">
                  <c:v>2023A</c:v>
                </c:pt>
                <c:pt idx="1">
                  <c:v>2024A</c:v>
                </c:pt>
                <c:pt idx="2">
                  <c:v>2025A</c:v>
                </c:pt>
                <c:pt idx="3">
                  <c:v>2026E</c:v>
                </c:pt>
                <c:pt idx="4">
                  <c:v>2027E</c:v>
                </c:pt>
                <c:pt idx="5">
                  <c:v>2028E</c:v>
                </c:pt>
                <c:pt idx="6">
                  <c:v>2029E</c:v>
                </c:pt>
                <c:pt idx="7">
                  <c:v>2030E</c:v>
                </c:pt>
              </c:strCache>
            </c:strRef>
          </c:cat>
          <c:val>
            <c:numRef>
              <c:f>Summary!$S$4:$S$11</c:f>
              <c:numCache>
                <c:formatCode>General</c:formatCode>
                <c:ptCount val="8"/>
                <c:pt idx="0">
                  <c:v>99584</c:v>
                </c:pt>
                <c:pt idx="1">
                  <c:v>108807</c:v>
                </c:pt>
                <c:pt idx="2">
                  <c:v>98767</c:v>
                </c:pt>
                <c:pt idx="3">
                  <c:v>159938.99552000003</c:v>
                </c:pt>
                <c:pt idx="4">
                  <c:v>170123.11105973602</c:v>
                </c:pt>
                <c:pt idx="5">
                  <c:v>178463.47784844172</c:v>
                </c:pt>
                <c:pt idx="6">
                  <c:v>186451.01797350301</c:v>
                </c:pt>
                <c:pt idx="7">
                  <c:v>192641.67922386507</c:v>
                </c:pt>
              </c:numCache>
            </c:numRef>
          </c:val>
          <c:smooth val="0"/>
          <c:extLst>
            <c:ext xmlns:c16="http://schemas.microsoft.com/office/drawing/2014/chart" uri="{C3380CC4-5D6E-409C-BE32-E72D297353CC}">
              <c16:uniqueId val="{00000000-88E5-4238-B063-ED1DB69E4135}"/>
            </c:ext>
          </c:extLst>
        </c:ser>
        <c:dLbls>
          <c:showLegendKey val="0"/>
          <c:showVal val="0"/>
          <c:showCatName val="0"/>
          <c:showSerName val="0"/>
          <c:showPercent val="0"/>
          <c:showBubbleSize val="0"/>
        </c:dLbls>
        <c:marker val="1"/>
        <c:smooth val="0"/>
        <c:axId val="1932299519"/>
        <c:axId val="1932302399"/>
      </c:lineChart>
      <c:catAx>
        <c:axId val="1932299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FY2026 forecast incorporates actual Q1 and Q2 FY2026 results.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302399"/>
        <c:crosses val="autoZero"/>
        <c:auto val="1"/>
        <c:lblAlgn val="ctr"/>
        <c:lblOffset val="100"/>
        <c:noMultiLvlLbl val="0"/>
      </c:catAx>
      <c:valAx>
        <c:axId val="193230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Free Cash Flow ($</a:t>
                </a:r>
                <a:r>
                  <a:rPr lang="en-US" baseline="0"/>
                  <a:t> in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99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DCF Valuation Bridge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Summary!$H$25</c:f>
              <c:strCache>
                <c:ptCount val="1"/>
                <c:pt idx="0">
                  <c:v>Value</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Summary!$G$26:$G$29</c:f>
              <c:strCache>
                <c:ptCount val="4"/>
                <c:pt idx="0">
                  <c:v>PV of Forecast FCF</c:v>
                </c:pt>
                <c:pt idx="1">
                  <c:v>PV of Terminal Value</c:v>
                </c:pt>
                <c:pt idx="2">
                  <c:v>Enterprise Value</c:v>
                </c:pt>
                <c:pt idx="3">
                  <c:v>Equity Value</c:v>
                </c:pt>
              </c:strCache>
            </c:strRef>
          </c:cat>
          <c:val>
            <c:numRef>
              <c:f>Summary!$H$26:$H$29</c:f>
              <c:numCache>
                <c:formatCode>General</c:formatCode>
                <c:ptCount val="4"/>
                <c:pt idx="0">
                  <c:v>686848.40208287828</c:v>
                </c:pt>
                <c:pt idx="1">
                  <c:v>2195549.0192322247</c:v>
                </c:pt>
                <c:pt idx="2">
                  <c:v>2882397.4213151028</c:v>
                </c:pt>
                <c:pt idx="3">
                  <c:v>2944281.4213151028</c:v>
                </c:pt>
              </c:numCache>
            </c:numRef>
          </c:val>
          <c:extLst>
            <c:ext xmlns:c16="http://schemas.microsoft.com/office/drawing/2014/chart" uri="{C3380CC4-5D6E-409C-BE32-E72D297353CC}">
              <c16:uniqueId val="{00000000-EB77-4C6E-91D5-735710F0BF28}"/>
            </c:ext>
          </c:extLst>
        </c:ser>
        <c:dLbls>
          <c:dLblPos val="outEnd"/>
          <c:showLegendKey val="0"/>
          <c:showVal val="1"/>
          <c:showCatName val="0"/>
          <c:showSerName val="0"/>
          <c:showPercent val="0"/>
          <c:showBubbleSize val="0"/>
        </c:dLbls>
        <c:gapWidth val="219"/>
        <c:overlap val="-27"/>
        <c:axId val="2104568975"/>
        <c:axId val="2104569455"/>
      </c:barChart>
      <c:catAx>
        <c:axId val="21045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69455"/>
        <c:crosses val="autoZero"/>
        <c:auto val="1"/>
        <c:lblAlgn val="ctr"/>
        <c:lblOffset val="100"/>
        <c:noMultiLvlLbl val="0"/>
      </c:catAx>
      <c:valAx>
        <c:axId val="21045694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 ($</a:t>
                </a:r>
                <a:r>
                  <a:rPr lang="en-US" baseline="0"/>
                  <a:t> in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5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Intrinsic</a:t>
            </a:r>
            <a:r>
              <a:rPr lang="en-US" baseline="0"/>
              <a:t> Value vs. Market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(Summary!$R$27,Summary!$T$27)</c:f>
              <c:strCache>
                <c:ptCount val="2"/>
                <c:pt idx="0">
                  <c:v>Intrinsic Value</c:v>
                </c:pt>
                <c:pt idx="1">
                  <c:v>Market Value</c:v>
                </c:pt>
              </c:strCache>
            </c:strRef>
          </c:cat>
          <c:val>
            <c:numRef>
              <c:f>(Summary!$R$28,Summary!$T$28)</c:f>
              <c:numCache>
                <c:formatCode>_([$$-409]* #,##0.00_);_([$$-409]* \(#,##0.00\);_([$$-409]* "-"??_);_(@_)</c:formatCode>
                <c:ptCount val="2"/>
                <c:pt idx="0" formatCode="_(&quot;$&quot;* #,##0.00_);_(&quot;$&quot;* \(#,##0.00\);_(&quot;$&quot;* &quot;-&quot;??_);_(@_)">
                  <c:v>223.22072944011393</c:v>
                </c:pt>
                <c:pt idx="1">
                  <c:v>315.32</c:v>
                </c:pt>
              </c:numCache>
            </c:numRef>
          </c:val>
          <c:extLst>
            <c:ext xmlns:c16="http://schemas.microsoft.com/office/drawing/2014/chart" uri="{C3380CC4-5D6E-409C-BE32-E72D297353CC}">
              <c16:uniqueId val="{00000000-9C8D-4619-9FB3-653B44898F05}"/>
            </c:ext>
          </c:extLst>
        </c:ser>
        <c:dLbls>
          <c:showLegendKey val="0"/>
          <c:showVal val="0"/>
          <c:showCatName val="0"/>
          <c:showSerName val="0"/>
          <c:showPercent val="0"/>
          <c:showBubbleSize val="0"/>
        </c:dLbls>
        <c:gapWidth val="219"/>
        <c:overlap val="-27"/>
        <c:axId val="1840940911"/>
        <c:axId val="1840937551"/>
      </c:barChart>
      <c:catAx>
        <c:axId val="184094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37551"/>
        <c:crosses val="autoZero"/>
        <c:auto val="1"/>
        <c:lblAlgn val="ctr"/>
        <c:lblOffset val="100"/>
        <c:noMultiLvlLbl val="0"/>
      </c:catAx>
      <c:valAx>
        <c:axId val="184093755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409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12700</xdr:colOff>
      <xdr:row>16</xdr:row>
      <xdr:rowOff>165100</xdr:rowOff>
    </xdr:from>
    <xdr:ext cx="1708150" cy="2503506"/>
    <xdr:sp macro="" textlink="">
      <xdr:nvSpPr>
        <xdr:cNvPr id="5" name="TextBox 4">
          <a:extLst>
            <a:ext uri="{FF2B5EF4-FFF2-40B4-BE49-F238E27FC236}">
              <a16:creationId xmlns:a16="http://schemas.microsoft.com/office/drawing/2014/main" id="{6F1B50DA-5F9C-DA59-B0C0-4C8C0A3AB53E}"/>
            </a:ext>
          </a:extLst>
        </xdr:cNvPr>
        <xdr:cNvSpPr txBox="1"/>
      </xdr:nvSpPr>
      <xdr:spPr>
        <a:xfrm>
          <a:off x="266700" y="3048000"/>
          <a:ext cx="1708150" cy="250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Based on my base-case DCF assumptions, Apple’s intrinsic value is approximately $182.82 per share compared to a current market price of $298.01. This implies the market is pricing in stronger long-term growth, higher free cash flow generation, lower discount rates, or greater AI/services upside than reflected in my model.                                                                             </a:t>
          </a:r>
        </a:p>
      </xdr:txBody>
    </xdr:sp>
    <xdr:clientData/>
  </xdr:oneCellAnchor>
  <xdr:twoCellAnchor>
    <xdr:from>
      <xdr:col>5</xdr:col>
      <xdr:colOff>588252</xdr:colOff>
      <xdr:row>0</xdr:row>
      <xdr:rowOff>36007</xdr:rowOff>
    </xdr:from>
    <xdr:to>
      <xdr:col>16</xdr:col>
      <xdr:colOff>128960</xdr:colOff>
      <xdr:row>21</xdr:row>
      <xdr:rowOff>45337</xdr:rowOff>
    </xdr:to>
    <xdr:graphicFrame macro="">
      <xdr:nvGraphicFramePr>
        <xdr:cNvPr id="6" name="Chart 5">
          <a:extLst>
            <a:ext uri="{FF2B5EF4-FFF2-40B4-BE49-F238E27FC236}">
              <a16:creationId xmlns:a16="http://schemas.microsoft.com/office/drawing/2014/main" id="{6B0265F0-77B0-459E-2F38-27B07A545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336062</xdr:colOff>
      <xdr:row>0</xdr:row>
      <xdr:rowOff>56444</xdr:rowOff>
    </xdr:from>
    <xdr:to>
      <xdr:col>27</xdr:col>
      <xdr:colOff>217479</xdr:colOff>
      <xdr:row>21</xdr:row>
      <xdr:rowOff>57094</xdr:rowOff>
    </xdr:to>
    <xdr:graphicFrame macro="">
      <xdr:nvGraphicFramePr>
        <xdr:cNvPr id="7" name="Chart 6">
          <a:extLst>
            <a:ext uri="{FF2B5EF4-FFF2-40B4-BE49-F238E27FC236}">
              <a16:creationId xmlns:a16="http://schemas.microsoft.com/office/drawing/2014/main" id="{93FA9F3C-66F0-393F-AA71-6DCF970F7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194312</xdr:colOff>
      <xdr:row>23</xdr:row>
      <xdr:rowOff>14111</xdr:rowOff>
    </xdr:from>
    <xdr:to>
      <xdr:col>15</xdr:col>
      <xdr:colOff>328739</xdr:colOff>
      <xdr:row>48</xdr:row>
      <xdr:rowOff>73649</xdr:rowOff>
    </xdr:to>
    <xdr:graphicFrame macro="">
      <xdr:nvGraphicFramePr>
        <xdr:cNvPr id="8" name="Chart 7">
          <a:extLst>
            <a:ext uri="{FF2B5EF4-FFF2-40B4-BE49-F238E27FC236}">
              <a16:creationId xmlns:a16="http://schemas.microsoft.com/office/drawing/2014/main" id="{FB5C8C4D-3589-54B8-2162-A7EBF0A62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296333</xdr:colOff>
      <xdr:row>23</xdr:row>
      <xdr:rowOff>14112</xdr:rowOff>
    </xdr:from>
    <xdr:to>
      <xdr:col>27</xdr:col>
      <xdr:colOff>479778</xdr:colOff>
      <xdr:row>48</xdr:row>
      <xdr:rowOff>56445</xdr:rowOff>
    </xdr:to>
    <xdr:graphicFrame macro="">
      <xdr:nvGraphicFramePr>
        <xdr:cNvPr id="9" name="Chart 8">
          <a:extLst>
            <a:ext uri="{FF2B5EF4-FFF2-40B4-BE49-F238E27FC236}">
              <a16:creationId xmlns:a16="http://schemas.microsoft.com/office/drawing/2014/main" id="{B109A2D6-9C63-604F-F047-B73C8B44B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0.36675</cdr:x>
      <cdr:y>0.07153</cdr:y>
    </cdr:from>
    <cdr:to>
      <cdr:x>0.56675</cdr:x>
      <cdr:y>0.40487</cdr:y>
    </cdr:to>
    <cdr:sp macro="" textlink="">
      <cdr:nvSpPr>
        <cdr:cNvPr id="7" name="TextBox 6">
          <a:extLst xmlns:a="http://schemas.openxmlformats.org/drawingml/2006/main">
            <a:ext uri="{FF2B5EF4-FFF2-40B4-BE49-F238E27FC236}">
              <a16:creationId xmlns:a16="http://schemas.microsoft.com/office/drawing/2014/main" id="{C193A835-EA7D-1477-6BBD-B279B9D9B84F}"/>
            </a:ext>
          </a:extLst>
        </cdr:cNvPr>
        <cdr:cNvSpPr txBox="1"/>
      </cdr:nvSpPr>
      <cdr:spPr>
        <a:xfrm xmlns:a="http://schemas.openxmlformats.org/drawingml/2006/main">
          <a:off x="2545708" y="292231"/>
          <a:ext cx="1388269" cy="136183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Forecast</a:t>
          </a:r>
          <a:r>
            <a:rPr lang="en-US" sz="1100" kern="1200" baseline="0"/>
            <a:t> Begins</a:t>
          </a:r>
          <a:endParaRPr lang="en-US" sz="1100" kern="1200"/>
        </a:p>
      </cdr:txBody>
    </cdr:sp>
  </cdr:relSizeAnchor>
  <cdr:relSizeAnchor xmlns:cdr="http://schemas.openxmlformats.org/drawingml/2006/chartDrawing">
    <cdr:from>
      <cdr:x>0.43553</cdr:x>
      <cdr:y>0.13389</cdr:y>
    </cdr:from>
    <cdr:to>
      <cdr:x>0.43553</cdr:x>
      <cdr:y>0.85589</cdr:y>
    </cdr:to>
    <cdr:cxnSp macro="">
      <cdr:nvCxnSpPr>
        <cdr:cNvPr id="10" name="Straight Connector 9">
          <a:extLst xmlns:a="http://schemas.openxmlformats.org/drawingml/2006/main">
            <a:ext uri="{FF2B5EF4-FFF2-40B4-BE49-F238E27FC236}">
              <a16:creationId xmlns:a16="http://schemas.microsoft.com/office/drawing/2014/main" id="{2304CABB-ECFD-A21E-544A-8047AF25053E}"/>
            </a:ext>
          </a:extLst>
        </cdr:cNvPr>
        <cdr:cNvCxnSpPr/>
      </cdr:nvCxnSpPr>
      <cdr:spPr>
        <a:xfrm xmlns:a="http://schemas.openxmlformats.org/drawingml/2006/main" flipV="1">
          <a:off x="3023158" y="546987"/>
          <a:ext cx="0" cy="2949681"/>
        </a:xfrm>
        <a:prstGeom xmlns:a="http://schemas.openxmlformats.org/drawingml/2006/main" prst="line">
          <a:avLst/>
        </a:prstGeom>
        <a:ln xmlns:a="http://schemas.openxmlformats.org/drawingml/2006/main">
          <a:solidFill>
            <a:schemeClr val="bg2">
              <a:lumMod val="25000"/>
            </a:schemeClr>
          </a:solidFill>
          <a:prstDash val="sys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0.39281</cdr:x>
      <cdr:y>0.06458</cdr:y>
    </cdr:from>
    <cdr:to>
      <cdr:x>0.59281</cdr:x>
      <cdr:y>0.39792</cdr:y>
    </cdr:to>
    <cdr:sp macro="" textlink="">
      <cdr:nvSpPr>
        <cdr:cNvPr id="11" name="TextBox 10">
          <a:extLst xmlns:a="http://schemas.openxmlformats.org/drawingml/2006/main">
            <a:ext uri="{FF2B5EF4-FFF2-40B4-BE49-F238E27FC236}">
              <a16:creationId xmlns:a16="http://schemas.microsoft.com/office/drawing/2014/main" id="{F88922D1-E6AC-2EA5-5ED3-30057E34D78B}"/>
            </a:ext>
          </a:extLst>
        </cdr:cNvPr>
        <cdr:cNvSpPr txBox="1"/>
      </cdr:nvSpPr>
      <cdr:spPr>
        <a:xfrm xmlns:a="http://schemas.openxmlformats.org/drawingml/2006/main">
          <a:off x="2450920" y="239178"/>
          <a:ext cx="1247882" cy="12344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12700</xdr:colOff>
      <xdr:row>0</xdr:row>
      <xdr:rowOff>0</xdr:rowOff>
    </xdr:from>
    <xdr:to>
      <xdr:col>48</xdr:col>
      <xdr:colOff>291041</xdr:colOff>
      <xdr:row>107</xdr:row>
      <xdr:rowOff>26458</xdr:rowOff>
    </xdr:to>
    <xdr:sp macro="" textlink="">
      <xdr:nvSpPr>
        <xdr:cNvPr id="2" name="TextBox 1">
          <a:extLst>
            <a:ext uri="{FF2B5EF4-FFF2-40B4-BE49-F238E27FC236}">
              <a16:creationId xmlns:a16="http://schemas.microsoft.com/office/drawing/2014/main" id="{17222BD0-920B-2D00-B5AB-B1792FD2E39B}"/>
            </a:ext>
          </a:extLst>
        </xdr:cNvPr>
        <xdr:cNvSpPr txBox="1"/>
      </xdr:nvSpPr>
      <xdr:spPr>
        <a:xfrm>
          <a:off x="12700" y="0"/>
          <a:ext cx="29779383" cy="1984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Bull Case Drivers</a:t>
          </a:r>
        </a:p>
        <a:p>
          <a:r>
            <a:rPr lang="en-US" sz="1100"/>
            <a:t>- Strong iPhone and Services momentum through FY2026</a:t>
          </a:r>
        </a:p>
        <a:p>
          <a:r>
            <a:rPr lang="en-US" sz="1100"/>
            <a:t>- Apple ecosystem remains highly sticky across iPhone, Mac, iPad, Apple Music, iCloud, and wearables</a:t>
          </a:r>
        </a:p>
        <a:p>
          <a:r>
            <a:rPr lang="en-US" sz="1100"/>
            <a:t>- AI integration into Siri and iOS could support future upgrade cycles</a:t>
          </a:r>
        </a:p>
        <a:p>
          <a:r>
            <a:rPr lang="en-US" sz="1100"/>
            <a:t>- Services mix may support higher free cash flow margins over time</a:t>
          </a:r>
        </a:p>
        <a:p>
          <a:r>
            <a:rPr lang="en-US" sz="1100"/>
            <a:t>- Continued share repurchases support EPS growth</a:t>
          </a:r>
        </a:p>
        <a:p>
          <a:endParaRPr lang="en-US" sz="1100"/>
        </a:p>
        <a:p>
          <a:r>
            <a:rPr lang="en-US" sz="1100" u="sng"/>
            <a:t>Bear Case Risks</a:t>
          </a:r>
        </a:p>
        <a:p>
          <a:r>
            <a:rPr lang="en-US" sz="1100"/>
            <a:t>- Market price may already reflect significant AI and Services optimism</a:t>
          </a:r>
        </a:p>
        <a:p>
          <a:r>
            <a:rPr lang="en-US" sz="1100"/>
            <a:t>- China supply chain exposure remains a major risk</a:t>
          </a:r>
        </a:p>
        <a:p>
          <a:r>
            <a:rPr lang="en-US" sz="1100"/>
            <a:t>- High product pricing may limit adoption of new devices such as foldable iPhone models</a:t>
          </a:r>
        </a:p>
        <a:p>
          <a:r>
            <a:rPr lang="en-US" sz="1100"/>
            <a:t>- Regulatory pressure could impact App Store economics</a:t>
          </a:r>
        </a:p>
        <a:p>
          <a:r>
            <a:rPr lang="en-US" sz="1100"/>
            <a:t>- Higher interest rates increase discount rates and reduce DCF value</a:t>
          </a:r>
        </a:p>
        <a:p>
          <a:endParaRPr lang="en-US" sz="1100"/>
        </a:p>
        <a:p>
          <a:r>
            <a:rPr lang="en-US" sz="1100" u="sng"/>
            <a:t>Final View</a:t>
          </a:r>
        </a:p>
        <a:p>
          <a:r>
            <a:rPr lang="en-US" sz="1100"/>
            <a:t>My DCF estimates Apple’s intrinsic value at ~ $223.06 per share, below the current market price of $315.01. </a:t>
          </a:r>
        </a:p>
        <a:p>
          <a:r>
            <a:rPr lang="en-US" sz="1100"/>
            <a:t>The gap suggests the market is pricing in stronger long-term growth, stronger free cash flow durability, or a lower cost of capital than my base case.</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12700</xdr:rowOff>
    </xdr:from>
    <xdr:ext cx="4292600" cy="1270000"/>
    <xdr:sp macro="" textlink="">
      <xdr:nvSpPr>
        <xdr:cNvPr id="2" name="TextBox 1">
          <a:extLst>
            <a:ext uri="{FF2B5EF4-FFF2-40B4-BE49-F238E27FC236}">
              <a16:creationId xmlns:a16="http://schemas.microsoft.com/office/drawing/2014/main" id="{262C4D47-B792-4105-5ECF-74603377F8EC}"/>
            </a:ext>
          </a:extLst>
        </xdr:cNvPr>
        <xdr:cNvSpPr txBox="1"/>
      </xdr:nvSpPr>
      <xdr:spPr>
        <a:xfrm>
          <a:off x="0" y="12700"/>
          <a:ext cx="4292600" cy="12700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Analyst Disclaimer</a:t>
          </a:r>
        </a:p>
        <a:p>
          <a:endParaRPr lang="en-US" sz="1100"/>
        </a:p>
        <a:p>
          <a:r>
            <a:rPr lang="en-US" sz="1100"/>
            <a:t>This report was prepared independently for educational and research purposes. All estimates and assumptions reflect the author's judgment and should not be interpreted as investment advice or a recommendation to buy or sell securities.</a:t>
          </a: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https://www.bing.com/financeapi/forcetrigger?t=a1mou2&amp;q=XNAS%3aAAPL&amp;form=skydnc</v>
    <v>Learn more on Bing</v>
  </rv>
  <rv s="1">
    <v>en-US</v>
    <v>a1mou2</v>
    <v>268435456</v>
    <v>1</v>
    <v>Powered by Refinitiv</v>
    <v>0</v>
    <v>APPLE INC. (XNAS:AAPL)</v>
    <v>2</v>
    <v>3</v>
    <v>Finance</v>
    <v>4</v>
    <v>317.39999999999998</v>
    <v>201.5</v>
    <v>1.0931999999999999</v>
    <v>-0.9</v>
    <v>-1.1100000000000001E-3</v>
    <v>-2.846E-3</v>
    <v>-0.35</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316.91000000000003</v>
    <v>Computers, Phones &amp; Household Electronics</v>
    <v>Stock</v>
    <v>46213.99998719844</v>
    <v>0</v>
    <v>312.17</v>
    <v>4631218355200</v>
    <v>APPLE INC.</v>
    <v>APPLE INC.</v>
    <v>314.72000000000003</v>
    <v>38.405000000000001</v>
    <v>316.22000000000003</v>
    <v>315.32</v>
    <v>314.97000000000003</v>
    <v>14687360000</v>
    <v>AAPL</v>
    <v>APPLE INC. (XNAS:AAPL)</v>
    <v>34132321</v>
    <v>64766433</v>
    <v>1977</v>
  </rv>
  <rv s="2">
    <v>1</v>
  </rv>
  <rv s="0">
    <v>https://www.bing.com/financeapi/forcetrigger?t=r6dwra&amp;q=US10Y&amp;form=skydnc</v>
    <v>Learn more on Bing</v>
  </rv>
  <rv s="3">
    <v>en-US</v>
    <v>r6dwra</v>
    <v>268435456</v>
    <v>1</v>
    <v>Powered by Refinitiv</v>
    <v>5</v>
    <v>US Treasury 10Y</v>
    <v>6</v>
    <v>7</v>
    <v>Finance</v>
    <v>8</v>
    <v>1.6299999999999999E-2</v>
    <v>3.568E-3</v>
    <v>US</v>
    <v>USD</v>
    <v>Bond</v>
    <v>46216.006157407406</v>
    <v>3</v>
    <v>49810</v>
    <v>US Treasury 10Y</v>
    <v>4.569</v>
    <v>4.5853000000000002</v>
    <v>US10Y</v>
    <v>US Treasury 10Y</v>
    <v>4.4649999999999995E-2</v>
    <v>4.4790000000000003E-2</v>
    <v>4.4172999999999997E-2</v>
    <v>4.539E-2</v>
  </rv>
  <rv s="2">
    <v>4</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3</v>
      <v>1</v>
      <v>1</v>
      <v>10</v>
      <v>5</v>
      <v>1</v>
      <v>7</v>
      <v>5</v>
      <v>5</v>
      <v>5</v>
      <v>5</v>
      <v>9</v>
    </spb>
    <spb s="7">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19" formatCode="m/d/yyyy"/>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6">
      <rpv i="0">#,##0.00</rpv>
    </rSty>
    <rSty>
      <rpv i="1">1</rpv>
    </rSty>
    <rSty dxfid="5">
      <rpv i="0">#,##0</rpv>
    </rSty>
    <rSty dxfid="3"/>
    <rSty dxfid="1">
      <rpv i="0">_([$$-en-US]* #,##0_);_([$$-en-US]* (#,##0);_([$$-en-US]* "-"_);_(@_)</rpv>
    </rSty>
    <rSty dxfid="2"/>
    <rSty dxfid="7">
      <rpv i="0">0</rpv>
    </rSty>
    <rSty dxfid="0">
      <rpv i="0">0.00</rpv>
    </rSty>
    <rSty dxfid="4"/>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8AD499-97D6-4C7C-A361-9C1756ED64DD}" name="tblFinancials" displayName="tblFinancials" ref="A1:E9" totalsRowShown="0" dataDxfId="14" dataCellStyle="Comma">
  <autoFilter ref="A1:E9" xr:uid="{568AD499-97D6-4C7C-A361-9C1756ED64DD}"/>
  <tableColumns count="5">
    <tableColumn id="1" xr3:uid="{F7E39082-EDF3-4718-9CBD-206F3D485FAC}" name="Year"/>
    <tableColumn id="2" xr3:uid="{51B45042-1D2D-4C65-A55A-FA2CE59BDA94}" name="Period Type"/>
    <tableColumn id="3" xr3:uid="{974709CC-DB1D-46FA-83B3-B8DC1E383CE1}" name="Revenue" dataDxfId="13" dataCellStyle="Comma"/>
    <tableColumn id="4" xr3:uid="{404AA2E4-8797-4EE9-98C3-604853278C2A}" name="Operating Income" dataDxfId="12" dataCellStyle="Comma"/>
    <tableColumn id="5" xr3:uid="{2DEA951E-3858-4520-8EC2-4AD592D7CCD2}" name="Free Cash Flow" dataDxfId="11"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393FAA-D5D7-414A-9583-FBF7B7BB4A08}" name="tblGlobalAssumptions" displayName="tblGlobalAssumptions" ref="A1:D10" totalsRowShown="0">
  <autoFilter ref="A1:D10" xr:uid="{35393FAA-D5D7-414A-9583-FBF7B7BB4A08}"/>
  <tableColumns count="4">
    <tableColumn id="1" xr3:uid="{92C2B741-3ECF-476B-8501-0312B796911B}" name="Assumption"/>
    <tableColumn id="2" xr3:uid="{2F68ABC0-498C-4C69-BE45-ED5B9041EF28}" name="Value" dataDxfId="10"/>
    <tableColumn id="3" xr3:uid="{FF1460A7-C476-4C68-B382-766316A434A3}" name="Unit"/>
    <tableColumn id="4" xr3:uid="{A8E77C19-BA2C-423C-85DB-9AA80DBF0129}"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1755D7-0F3D-4F25-B60B-833E4F385097}" name="tblForecastAssumptions" displayName="tblForecastAssumptions" ref="A1:D6" totalsRowShown="0" dataDxfId="9" dataCellStyle="Percent">
  <autoFilter ref="A1:D6" xr:uid="{B91755D7-0F3D-4F25-B60B-833E4F385097}"/>
  <tableColumns count="4">
    <tableColumn id="1" xr3:uid="{81404F88-5FD7-46C7-A44B-6CC51FFF2712}" name="Year"/>
    <tableColumn id="2" xr3:uid="{58585A7D-971B-41ED-B813-F2F1723CCF25}" name="Revenue Growth" dataDxfId="8" dataCellStyle="Percent"/>
    <tableColumn id="3" xr3:uid="{A00D143D-4F98-45AC-84BD-2485DFBFB920}" name="Operating Margin" dataDxfId="7" dataCellStyle="Percent"/>
    <tableColumn id="4" xr3:uid="{239CA4BB-EBD7-4F54-B3CE-4FF89378FCEC}" name="FCF Margin" dataDxfId="6"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801954-04FF-44C4-A9F0-F5C7C713F76C}" name="tblValuations" displayName="tblValuations" ref="A1:E2" totalsRowShown="0">
  <autoFilter ref="A1:E2" xr:uid="{1A801954-04FF-44C4-A9F0-F5C7C713F76C}"/>
  <tableColumns count="5">
    <tableColumn id="1" xr3:uid="{A8FE5F69-B142-4A8F-9186-7A2E88B0683A}" name="Current Share Price" dataDxfId="5">
      <calculatedColumnFormula>Summary!E8</calculatedColumnFormula>
    </tableColumn>
    <tableColumn id="2" xr3:uid="{2E87E519-FEA4-414F-B5CA-D7277DF9415E}" name="Intrinsic Value" dataDxfId="4">
      <calculatedColumnFormula>Summary!E9</calculatedColumnFormula>
    </tableColumn>
    <tableColumn id="3" xr3:uid="{47687B26-988A-459A-ACD1-8002350111C4}" name="Upside" dataDxfId="3" dataCellStyle="Percent">
      <calculatedColumnFormula>Summary!E10</calculatedColumnFormula>
    </tableColumn>
    <tableColumn id="4" xr3:uid="{F80584BC-06B1-43A2-B7D5-E4F698CFED2F}" name="WACC" dataDxfId="2">
      <calculatedColumnFormula>Summary!E13</calculatedColumnFormula>
    </tableColumn>
    <tableColumn id="5" xr3:uid="{DB76AD9E-C48B-427E-979A-B489040CE7BA}" name="Terminal Growth" dataDxfId="1" dataCellStyle="Percent">
      <calculatedColumnFormula>Summary!E14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50889D-8213-4CD8-9EAB-F822BE9BB6E6}" name="tblValuationSummary" displayName="tblValuationSummary" ref="A1:B6" totalsRowShown="0">
  <autoFilter ref="A1:B6" xr:uid="{2C50889D-8213-4CD8-9EAB-F822BE9BB6E6}"/>
  <tableColumns count="2">
    <tableColumn id="1" xr3:uid="{5BD7EB72-D8EA-4D9D-B10C-4AA3FC1DCB74}" name="Metric"/>
    <tableColumn id="2" xr3:uid="{148263ED-1FB4-44EE-8FB0-1205EB277AC9}"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D40940-98BF-43A0-843E-C196D1716420}" name="tblValBridge" displayName="tblValBridge" ref="A1:B6" totalsRowShown="0">
  <autoFilter ref="A1:B6" xr:uid="{A7D40940-98BF-43A0-843E-C196D1716420}"/>
  <tableColumns count="2">
    <tableColumn id="1" xr3:uid="{870A4BBD-0061-4117-92E7-E3F98C594F9F}" name="Step"/>
    <tableColumn id="2" xr3:uid="{D1526C5C-523C-4D03-B903-C9C2B4357D9A}" name="Value"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sec.gov/ix?doc=/Archives/edgar/data/0000320193/000032019326000013/aapl-20260328.htm" TargetMode="External"/><Relationship Id="rId7" Type="http://schemas.openxmlformats.org/officeDocument/2006/relationships/printerSettings" Target="../printerSettings/printerSettings3.bin"/><Relationship Id="rId2" Type="http://schemas.openxmlformats.org/officeDocument/2006/relationships/hyperlink" Target="https://www.sec.gov/Archives/edgar/data/320193/000032019326000006/aapl-20251227.htm" TargetMode="External"/><Relationship Id="rId1" Type="http://schemas.openxmlformats.org/officeDocument/2006/relationships/hyperlink" Target="https://www.sec.gov/Archives/edgar/data/320193/000032019318000145/a10-k20189292018.htm" TargetMode="External"/><Relationship Id="rId6" Type="http://schemas.openxmlformats.org/officeDocument/2006/relationships/hyperlink" Target="https://pages.stern.nyu.edu/~adamodar/New_Home_Page/home.htm" TargetMode="External"/><Relationship Id="rId5" Type="http://schemas.openxmlformats.org/officeDocument/2006/relationships/hyperlink" Target="https://www.treasurydirect.gov/marketable-securities/treasury-notes/" TargetMode="External"/><Relationship Id="rId4" Type="http://schemas.openxmlformats.org/officeDocument/2006/relationships/hyperlink" Target="https://finance.yahoo.com/quote/AAP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3521-ECF8-4D92-8D79-1FC6AAC7193C}">
  <dimension ref="B2:U30"/>
  <sheetViews>
    <sheetView showGridLines="0" zoomScale="51" zoomScaleNormal="45" workbookViewId="0">
      <selection activeCell="E9" sqref="E9"/>
    </sheetView>
  </sheetViews>
  <sheetFormatPr defaultRowHeight="14.5"/>
  <cols>
    <col min="1" max="1" width="3.6328125" customWidth="1"/>
    <col min="2" max="2" width="38.1796875" bestFit="1" customWidth="1"/>
    <col min="3" max="3" width="26.08984375" bestFit="1" customWidth="1"/>
    <col min="5" max="5" width="53.1796875" customWidth="1"/>
    <col min="7" max="7" width="18.36328125" bestFit="1" customWidth="1"/>
    <col min="8" max="8" width="8.81640625" bestFit="1" customWidth="1"/>
    <col min="11" max="11" width="8.81640625" bestFit="1" customWidth="1"/>
    <col min="18" max="18" width="14.26953125" bestFit="1" customWidth="1"/>
    <col min="19" max="19" width="11.08984375" bestFit="1" customWidth="1"/>
    <col min="20" max="20" width="10.36328125" bestFit="1" customWidth="1"/>
  </cols>
  <sheetData>
    <row r="2" spans="2:21" ht="21">
      <c r="B2" s="12" t="s">
        <v>49</v>
      </c>
      <c r="Q2" s="46"/>
      <c r="R2" t="s">
        <v>66</v>
      </c>
      <c r="U2" s="46"/>
    </row>
    <row r="3" spans="2:21" ht="17.5">
      <c r="B3" s="13" t="s">
        <v>50</v>
      </c>
      <c r="Q3" s="46"/>
      <c r="R3" t="s">
        <v>65</v>
      </c>
      <c r="S3" t="s">
        <v>9</v>
      </c>
      <c r="U3" s="46"/>
    </row>
    <row r="4" spans="2:21">
      <c r="B4" s="10" t="s">
        <v>51</v>
      </c>
      <c r="Q4" s="46"/>
      <c r="R4" t="s">
        <v>13</v>
      </c>
      <c r="S4">
        <f>'DCF Model'!B17</f>
        <v>99584</v>
      </c>
      <c r="U4" s="46"/>
    </row>
    <row r="5" spans="2:21">
      <c r="B5" s="11" t="s">
        <v>52</v>
      </c>
      <c r="Q5" s="46"/>
      <c r="R5" t="s">
        <v>14</v>
      </c>
      <c r="S5">
        <f>'DCF Model'!C17</f>
        <v>108807</v>
      </c>
      <c r="U5" s="46"/>
    </row>
    <row r="6" spans="2:21">
      <c r="B6" s="14" t="s">
        <v>16</v>
      </c>
      <c r="C6" s="15"/>
      <c r="D6" s="15"/>
      <c r="E6" s="16"/>
      <c r="Q6" s="46"/>
      <c r="R6" t="s">
        <v>15</v>
      </c>
      <c r="S6">
        <f>'DCF Model'!D17</f>
        <v>98767</v>
      </c>
      <c r="U6" s="46"/>
    </row>
    <row r="7" spans="2:21">
      <c r="B7" s="43" t="s">
        <v>53</v>
      </c>
      <c r="E7" s="43" t="s">
        <v>34</v>
      </c>
      <c r="K7" t="s">
        <v>0</v>
      </c>
      <c r="Q7" s="46"/>
      <c r="R7" t="s">
        <v>23</v>
      </c>
      <c r="S7">
        <f>'DCF Model'!E17</f>
        <v>159938.99552000003</v>
      </c>
      <c r="U7" s="46"/>
    </row>
    <row r="8" spans="2:21">
      <c r="B8" t="s">
        <v>54</v>
      </c>
      <c r="D8" s="46" t="e" vm="1">
        <v>#VALUE!</v>
      </c>
      <c r="E8" s="8" cm="1">
        <f t="array" aca="1" ref="E8" ca="1">_FV(D8,"Price")</f>
        <v>315.32</v>
      </c>
      <c r="J8" t="s">
        <v>13</v>
      </c>
      <c r="K8">
        <f>'DCF Model'!B5</f>
        <v>383285</v>
      </c>
      <c r="Q8" s="46"/>
      <c r="R8" t="s">
        <v>24</v>
      </c>
      <c r="S8">
        <f>'DCF Model'!F17</f>
        <v>170123.11105973602</v>
      </c>
      <c r="U8" s="46"/>
    </row>
    <row r="9" spans="2:21">
      <c r="B9" t="s">
        <v>55</v>
      </c>
      <c r="E9" s="9">
        <f ca="1">'DCF Model'!D54</f>
        <v>223.22072944011393</v>
      </c>
      <c r="J9" t="s">
        <v>14</v>
      </c>
      <c r="K9">
        <f>'DCF Model'!C5</f>
        <v>391035</v>
      </c>
      <c r="Q9" s="46"/>
      <c r="R9" t="s">
        <v>25</v>
      </c>
      <c r="S9">
        <f>'DCF Model'!G17</f>
        <v>178463.47784844172</v>
      </c>
      <c r="U9" s="46"/>
    </row>
    <row r="10" spans="2:21">
      <c r="B10" t="s">
        <v>57</v>
      </c>
      <c r="E10" s="3">
        <f ca="1">(E9/E8)-1</f>
        <v>-0.29208191855856291</v>
      </c>
      <c r="J10" t="s">
        <v>15</v>
      </c>
      <c r="K10">
        <f>'DCF Model'!D5</f>
        <v>416161</v>
      </c>
      <c r="Q10" s="46"/>
      <c r="R10" t="s">
        <v>26</v>
      </c>
      <c r="S10">
        <f>'DCF Model'!H17</f>
        <v>186451.01797350301</v>
      </c>
      <c r="U10" s="46"/>
    </row>
    <row r="11" spans="2:21">
      <c r="B11" t="s">
        <v>45</v>
      </c>
      <c r="E11" s="9">
        <f ca="1">'DCF Model'!D52</f>
        <v>2882397.4213151028</v>
      </c>
      <c r="J11" t="s">
        <v>23</v>
      </c>
      <c r="K11">
        <f>'DCF Model'!E5</f>
        <v>499809.36100000003</v>
      </c>
      <c r="Q11" s="46"/>
      <c r="R11" t="s">
        <v>27</v>
      </c>
      <c r="S11">
        <f>'DCF Model'!I17</f>
        <v>192641.67922386507</v>
      </c>
      <c r="U11" s="46"/>
    </row>
    <row r="12" spans="2:21">
      <c r="B12" t="s">
        <v>47</v>
      </c>
      <c r="E12" s="9">
        <f ca="1">'DCF Model'!D53</f>
        <v>2944281.4213151028</v>
      </c>
      <c r="J12" t="s">
        <v>24</v>
      </c>
      <c r="K12">
        <f>'DCF Model'!F5</f>
        <v>541793.34732400009</v>
      </c>
    </row>
    <row r="13" spans="2:21">
      <c r="B13" t="s">
        <v>21</v>
      </c>
      <c r="E13" s="6">
        <f ca="1">'DCF Model'!D47</f>
        <v>8.9005658374005384E-2</v>
      </c>
      <c r="J13" t="s">
        <v>25</v>
      </c>
      <c r="K13">
        <f>'DCF Model'!G5</f>
        <v>577551.70824738417</v>
      </c>
    </row>
    <row r="14" spans="2:21">
      <c r="B14" t="s">
        <v>56</v>
      </c>
      <c r="E14" s="3">
        <f>'DCF Model'!B32</f>
        <v>0.03</v>
      </c>
      <c r="I14" s="46"/>
      <c r="J14" s="46" t="s">
        <v>26</v>
      </c>
      <c r="K14" s="46">
        <f>'DCF Model'!H5</f>
        <v>609317.05220099026</v>
      </c>
      <c r="L14" s="46"/>
      <c r="M14" s="46"/>
    </row>
    <row r="15" spans="2:21">
      <c r="B15" t="s">
        <v>82</v>
      </c>
      <c r="E15" s="44" t="s">
        <v>99</v>
      </c>
      <c r="I15" s="46"/>
      <c r="J15" s="46" t="s">
        <v>27</v>
      </c>
      <c r="K15" s="46">
        <v>633690</v>
      </c>
      <c r="L15" s="46"/>
      <c r="M15" s="46"/>
    </row>
    <row r="17" spans="2:21">
      <c r="B17" s="17" t="s">
        <v>58</v>
      </c>
      <c r="C17" s="72" t="s">
        <v>91</v>
      </c>
      <c r="D17" s="72"/>
      <c r="E17" s="72"/>
    </row>
    <row r="18" spans="2:21">
      <c r="C18" s="72" t="s">
        <v>92</v>
      </c>
      <c r="D18" s="72"/>
      <c r="E18" s="60" t="s">
        <v>34</v>
      </c>
    </row>
    <row r="19" spans="2:21">
      <c r="C19" t="s">
        <v>21</v>
      </c>
      <c r="E19" s="6">
        <f ca="1">'DCF Model'!D47</f>
        <v>8.9005658374005384E-2</v>
      </c>
    </row>
    <row r="20" spans="2:21">
      <c r="C20" t="s">
        <v>93</v>
      </c>
      <c r="E20" s="4">
        <f>'DCF Model'!B32</f>
        <v>0.03</v>
      </c>
    </row>
    <row r="21" spans="2:21">
      <c r="C21" t="s">
        <v>94</v>
      </c>
      <c r="E21" s="4">
        <f>'DCF Model'!B27</f>
        <v>0.20100000000000001</v>
      </c>
    </row>
    <row r="22" spans="2:21">
      <c r="C22" t="s">
        <v>95</v>
      </c>
      <c r="E22" s="4">
        <f>'DCF Model'!B28</f>
        <v>0.32400000000000001</v>
      </c>
    </row>
    <row r="23" spans="2:21">
      <c r="C23" t="s">
        <v>96</v>
      </c>
      <c r="E23" s="6">
        <f>'DCF Model'!B30</f>
        <v>0.32</v>
      </c>
      <c r="Q23" s="46"/>
      <c r="R23" s="46"/>
      <c r="S23" s="46"/>
      <c r="T23" s="46"/>
      <c r="U23" s="46"/>
    </row>
    <row r="24" spans="2:21">
      <c r="F24" s="46"/>
      <c r="G24" s="46" t="s">
        <v>67</v>
      </c>
      <c r="H24" s="46"/>
      <c r="Q24" s="46"/>
      <c r="R24" s="46"/>
      <c r="S24" s="46"/>
      <c r="T24" s="46"/>
      <c r="U24" s="46"/>
    </row>
    <row r="25" spans="2:21">
      <c r="F25" s="46"/>
      <c r="G25" t="s">
        <v>68</v>
      </c>
      <c r="H25" t="s">
        <v>34</v>
      </c>
      <c r="Q25" s="46"/>
      <c r="S25" s="46"/>
      <c r="T25" s="46"/>
      <c r="U25" s="46"/>
    </row>
    <row r="26" spans="2:21">
      <c r="F26" s="46"/>
      <c r="G26" t="s">
        <v>69</v>
      </c>
      <c r="H26">
        <f ca="1">SUM('DCF Model'!E19:I19)</f>
        <v>686848.40208287828</v>
      </c>
      <c r="Q26" s="46"/>
      <c r="T26" s="61"/>
      <c r="U26" s="46"/>
    </row>
    <row r="27" spans="2:21">
      <c r="F27" s="46"/>
      <c r="G27" t="s">
        <v>46</v>
      </c>
      <c r="H27">
        <f ca="1">'DCF Model'!D51</f>
        <v>2195549.0192322247</v>
      </c>
      <c r="Q27" s="46"/>
      <c r="R27" t="s">
        <v>101</v>
      </c>
      <c r="T27" t="s">
        <v>100</v>
      </c>
      <c r="U27" s="46"/>
    </row>
    <row r="28" spans="2:21">
      <c r="F28" s="46"/>
      <c r="G28" t="s">
        <v>45</v>
      </c>
      <c r="H28">
        <f ca="1">'DCF Model'!D52</f>
        <v>2882397.4213151028</v>
      </c>
      <c r="R28" s="9">
        <f ca="1">'DCF Model'!D54</f>
        <v>223.22072944011393</v>
      </c>
      <c r="S28" t="e" vm="1">
        <v>#VALUE!</v>
      </c>
      <c r="T28" s="62" cm="1">
        <f t="array" aca="1" ref="T28" ca="1">_FV(S28,"Price")</f>
        <v>315.32</v>
      </c>
    </row>
    <row r="29" spans="2:21">
      <c r="F29" s="46"/>
      <c r="G29" t="s">
        <v>47</v>
      </c>
      <c r="H29">
        <f ca="1">'DCF Model'!D53</f>
        <v>2944281.4213151028</v>
      </c>
    </row>
    <row r="30" spans="2:21">
      <c r="F30" s="46"/>
      <c r="G30" s="46"/>
      <c r="H30" s="46"/>
    </row>
  </sheetData>
  <mergeCells count="2">
    <mergeCell ref="C17:E17"/>
    <mergeCell ref="C18:D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A3A4-5C64-4C8A-B657-2000EC3726B6}">
  <dimension ref="A1:K63"/>
  <sheetViews>
    <sheetView tabSelected="1" topLeftCell="A29" zoomScale="60" zoomScaleNormal="60" workbookViewId="0">
      <pane xSplit="1" topLeftCell="B1" activePane="topRight" state="frozen"/>
      <selection pane="topRight" activeCell="E54" sqref="E54"/>
    </sheetView>
  </sheetViews>
  <sheetFormatPr defaultRowHeight="14.5"/>
  <cols>
    <col min="1" max="1" width="33.6328125" bestFit="1" customWidth="1"/>
    <col min="2" max="2" width="36.36328125" customWidth="1"/>
    <col min="3" max="3" width="23.6328125" bestFit="1" customWidth="1"/>
    <col min="4" max="4" width="15.453125" bestFit="1" customWidth="1"/>
    <col min="5" max="5" width="12.6328125" bestFit="1" customWidth="1"/>
    <col min="6" max="6" width="14.1796875" bestFit="1" customWidth="1"/>
    <col min="7" max="9" width="12.6328125" bestFit="1" customWidth="1"/>
  </cols>
  <sheetData>
    <row r="1" spans="1:9" ht="16">
      <c r="A1" s="37" t="s">
        <v>19</v>
      </c>
    </row>
    <row r="2" spans="1:9" ht="16">
      <c r="A2" s="37" t="s">
        <v>16</v>
      </c>
    </row>
    <row r="3" spans="1:9" ht="21">
      <c r="B3" s="73" t="s">
        <v>59</v>
      </c>
      <c r="C3" s="73"/>
      <c r="D3" s="73"/>
      <c r="E3" s="74" t="s">
        <v>63</v>
      </c>
      <c r="F3" s="74"/>
      <c r="G3" s="74"/>
      <c r="H3" s="74"/>
      <c r="I3" s="74"/>
    </row>
    <row r="4" spans="1:9">
      <c r="B4" s="5" t="s">
        <v>13</v>
      </c>
      <c r="C4" s="5" t="s">
        <v>14</v>
      </c>
      <c r="D4" s="5" t="s">
        <v>15</v>
      </c>
      <c r="E4" s="5" t="s">
        <v>23</v>
      </c>
      <c r="F4" s="5" t="s">
        <v>24</v>
      </c>
      <c r="G4" s="5" t="s">
        <v>25</v>
      </c>
      <c r="H4" s="5" t="s">
        <v>26</v>
      </c>
      <c r="I4" s="5" t="s">
        <v>27</v>
      </c>
    </row>
    <row r="5" spans="1:9">
      <c r="A5" t="s">
        <v>0</v>
      </c>
      <c r="B5" s="23">
        <v>383285</v>
      </c>
      <c r="C5" s="23">
        <v>391035</v>
      </c>
      <c r="D5" s="23">
        <v>416161</v>
      </c>
      <c r="E5" s="2">
        <f>D5*(1+B27)</f>
        <v>499809.36100000003</v>
      </c>
      <c r="F5" s="2">
        <f>E5*(1+C27)</f>
        <v>541793.34732400009</v>
      </c>
      <c r="G5" s="2">
        <f>F5*(1+D27)</f>
        <v>577551.70824738417</v>
      </c>
      <c r="H5" s="2">
        <f>G5*(1+E27)</f>
        <v>609317.05220099026</v>
      </c>
      <c r="I5" s="2">
        <f>H5*(1+F27)</f>
        <v>633689.73428902985</v>
      </c>
    </row>
    <row r="6" spans="1:9">
      <c r="A6" t="s">
        <v>1</v>
      </c>
      <c r="B6" s="24">
        <f>-2.8%</f>
        <v>-2.7999999999999997E-2</v>
      </c>
      <c r="C6" s="24">
        <f>(C5-B5)/B5</f>
        <v>2.0219940775141214E-2</v>
      </c>
      <c r="D6" s="24">
        <f>((D5-C5)/C5)</f>
        <v>6.4255117828327393E-2</v>
      </c>
      <c r="E6" s="2"/>
      <c r="F6" s="2"/>
      <c r="G6" s="2"/>
      <c r="H6" s="2"/>
      <c r="I6" s="2"/>
    </row>
    <row r="7" spans="1:9">
      <c r="A7" t="s">
        <v>2</v>
      </c>
      <c r="B7" s="23">
        <v>169148</v>
      </c>
      <c r="C7" s="23">
        <v>180683</v>
      </c>
      <c r="D7" s="23">
        <v>195201</v>
      </c>
      <c r="E7" s="2"/>
      <c r="F7" s="2"/>
      <c r="G7" s="2"/>
      <c r="H7" s="2"/>
      <c r="I7" s="2"/>
    </row>
    <row r="8" spans="1:9">
      <c r="A8" t="s">
        <v>3</v>
      </c>
      <c r="B8" s="25">
        <f>B7/B5</f>
        <v>0.44131129577207562</v>
      </c>
      <c r="C8" s="25">
        <f>C7/C5</f>
        <v>0.46206349815233932</v>
      </c>
      <c r="D8" s="25">
        <f>D7/D5</f>
        <v>0.46905164107160452</v>
      </c>
      <c r="E8" s="2"/>
      <c r="F8" s="2"/>
      <c r="G8" s="2"/>
      <c r="H8" s="2"/>
      <c r="I8" s="2"/>
    </row>
    <row r="9" spans="1:9">
      <c r="A9" t="s">
        <v>4</v>
      </c>
      <c r="B9" s="23">
        <v>114301</v>
      </c>
      <c r="C9" s="23">
        <v>123216</v>
      </c>
      <c r="D9" s="23">
        <v>133050</v>
      </c>
      <c r="E9" s="2">
        <f>E5*B28</f>
        <v>161938.23296400002</v>
      </c>
      <c r="F9" s="2">
        <f>F5*C28</f>
        <v>177166.42457494803</v>
      </c>
      <c r="G9" s="2">
        <f>G5*D28</f>
        <v>185971.65005565772</v>
      </c>
      <c r="H9" s="2">
        <f>H5*E28</f>
        <v>194981.45670431689</v>
      </c>
      <c r="I9" s="2">
        <f>I5*F28</f>
        <v>203414.40470677859</v>
      </c>
    </row>
    <row r="10" spans="1:9">
      <c r="A10" t="s">
        <v>28</v>
      </c>
      <c r="B10" s="23"/>
      <c r="C10" s="23"/>
      <c r="D10" s="23"/>
      <c r="E10" s="2">
        <f>E9*B29</f>
        <v>25910.117274240005</v>
      </c>
      <c r="F10" s="2">
        <f>F9*C29</f>
        <v>28346.627931991687</v>
      </c>
      <c r="G10" s="2">
        <f>G9*D29</f>
        <v>29755.464008905237</v>
      </c>
      <c r="H10" s="2">
        <f>H9*E29</f>
        <v>31197.033072690705</v>
      </c>
      <c r="I10" s="2">
        <f>I9*F29</f>
        <v>32546.304753084576</v>
      </c>
    </row>
    <row r="11" spans="1:9">
      <c r="A11" t="s">
        <v>29</v>
      </c>
      <c r="B11" s="23"/>
      <c r="C11" s="23"/>
      <c r="D11" s="23"/>
      <c r="E11" s="2">
        <f>E9-E10</f>
        <v>136028.11568976002</v>
      </c>
      <c r="F11" s="2">
        <f t="shared" ref="F11:H11" si="0">F9-F10</f>
        <v>148819.79664295635</v>
      </c>
      <c r="G11" s="2">
        <f t="shared" si="0"/>
        <v>156216.1860467525</v>
      </c>
      <c r="H11" s="2">
        <f t="shared" si="0"/>
        <v>163784.42363162618</v>
      </c>
      <c r="I11" s="2">
        <f>I9-I10</f>
        <v>170868.09995369401</v>
      </c>
    </row>
    <row r="12" spans="1:9">
      <c r="A12" t="s">
        <v>5</v>
      </c>
      <c r="B12" s="24">
        <f>B9/B5</f>
        <v>0.29821412265024722</v>
      </c>
      <c r="C12" s="24">
        <f>C9/C5</f>
        <v>0.31510222870075566</v>
      </c>
      <c r="D12" s="24">
        <f>D9/D5</f>
        <v>0.31970799762591884</v>
      </c>
      <c r="E12" s="2"/>
      <c r="F12" s="2"/>
      <c r="G12" s="2"/>
      <c r="H12" s="2"/>
      <c r="I12" s="2"/>
    </row>
    <row r="13" spans="1:9">
      <c r="A13" t="s">
        <v>6</v>
      </c>
      <c r="B13" s="23">
        <v>96995</v>
      </c>
      <c r="C13" s="23">
        <v>93736</v>
      </c>
      <c r="D13" s="23">
        <v>112010</v>
      </c>
      <c r="E13" s="2"/>
      <c r="F13" s="2"/>
      <c r="G13" s="2"/>
      <c r="H13" s="2"/>
      <c r="I13" s="2"/>
    </row>
    <row r="14" spans="1:9">
      <c r="A14" t="s">
        <v>17</v>
      </c>
      <c r="B14" s="24">
        <f>B13/B5</f>
        <v>0.25306234264320282</v>
      </c>
      <c r="C14" s="24">
        <f>C13/C5</f>
        <v>0.23971255769943867</v>
      </c>
      <c r="D14" s="24">
        <f>D13/D5</f>
        <v>0.26915064121818238</v>
      </c>
      <c r="E14" s="2"/>
      <c r="F14" s="2"/>
      <c r="G14" s="2"/>
      <c r="H14" s="2"/>
      <c r="I14" s="2"/>
    </row>
    <row r="15" spans="1:9">
      <c r="A15" t="s">
        <v>7</v>
      </c>
      <c r="B15" s="23">
        <v>110543</v>
      </c>
      <c r="C15" s="23">
        <v>118254</v>
      </c>
      <c r="D15" s="23">
        <v>111482</v>
      </c>
      <c r="E15" s="2"/>
      <c r="F15" s="2"/>
      <c r="G15" s="2"/>
      <c r="H15" s="2"/>
      <c r="I15" s="2"/>
    </row>
    <row r="16" spans="1:9">
      <c r="A16" t="s">
        <v>8</v>
      </c>
      <c r="B16" s="23">
        <v>10959</v>
      </c>
      <c r="C16" s="23">
        <v>9447</v>
      </c>
      <c r="D16" s="23">
        <v>12715</v>
      </c>
      <c r="E16" s="2"/>
      <c r="F16" s="2"/>
      <c r="G16" s="2"/>
      <c r="H16" s="2"/>
      <c r="I16" s="2"/>
    </row>
    <row r="17" spans="1:9">
      <c r="A17" t="s">
        <v>9</v>
      </c>
      <c r="B17" s="23">
        <f t="shared" ref="B17" si="1">B15-B16</f>
        <v>99584</v>
      </c>
      <c r="C17" s="23">
        <f>C15-C16</f>
        <v>108807</v>
      </c>
      <c r="D17" s="23">
        <f>D15-D16</f>
        <v>98767</v>
      </c>
      <c r="E17" s="2">
        <f>E5*B30</f>
        <v>159938.99552000003</v>
      </c>
      <c r="F17" s="2">
        <f>F5*C30</f>
        <v>170123.11105973602</v>
      </c>
      <c r="G17" s="2">
        <f>G5*D30</f>
        <v>178463.47784844172</v>
      </c>
      <c r="H17" s="2">
        <f>H5*E30</f>
        <v>186451.01797350301</v>
      </c>
      <c r="I17" s="2">
        <f>I5*F30</f>
        <v>192641.67922386507</v>
      </c>
    </row>
    <row r="18" spans="1:9">
      <c r="A18" t="s">
        <v>42</v>
      </c>
      <c r="B18" s="26"/>
      <c r="C18" s="26"/>
      <c r="D18" s="26"/>
      <c r="E18" s="8">
        <f ca="1">1/(1+D47)^1</f>
        <v>0.91826887428032311</v>
      </c>
      <c r="F18" s="8">
        <f ca="1">1/(1+D47)^2</f>
        <v>0.84321772547205198</v>
      </c>
      <c r="G18" s="8">
        <f ca="1">1/(1+D47)^3</f>
        <v>0.77430059154243569</v>
      </c>
      <c r="H18" s="8">
        <f ca="1">1/(1+D47)^4</f>
        <v>0.71101613255026075</v>
      </c>
      <c r="I18" s="8">
        <f ca="1">1/(1+D47)^5</f>
        <v>0.65290398363207691</v>
      </c>
    </row>
    <row r="19" spans="1:9">
      <c r="A19" t="s">
        <v>43</v>
      </c>
      <c r="B19" s="26"/>
      <c r="C19" s="26"/>
      <c r="D19" s="26"/>
      <c r="E19" s="1">
        <f ca="1">E17*E18</f>
        <v>146867.00136967606</v>
      </c>
      <c r="F19" s="1">
        <f ca="1">F17*F18</f>
        <v>143450.8227580199</v>
      </c>
      <c r="G19" s="1">
        <f ca="1">G17*G18</f>
        <v>138184.37646676879</v>
      </c>
      <c r="H19" s="1">
        <f ca="1">H17*H18</f>
        <v>132569.68170957928</v>
      </c>
      <c r="I19" s="1">
        <f ca="1">I17*I18</f>
        <v>125776.5197788342</v>
      </c>
    </row>
    <row r="20" spans="1:9">
      <c r="A20" t="s">
        <v>18</v>
      </c>
      <c r="B20" s="24">
        <f>B17/B5</f>
        <v>0.25981710737440805</v>
      </c>
      <c r="C20" s="24">
        <f>C17/C5</f>
        <v>0.27825386474356517</v>
      </c>
      <c r="D20" s="24">
        <f>D17/D5</f>
        <v>0.23732882225869315</v>
      </c>
      <c r="E20" s="2"/>
      <c r="F20" s="2"/>
      <c r="G20" s="2"/>
      <c r="H20" s="2"/>
      <c r="I20" s="2"/>
    </row>
    <row r="21" spans="1:9">
      <c r="A21" t="s">
        <v>10</v>
      </c>
      <c r="B21" s="23">
        <f>29965+132134</f>
        <v>162099</v>
      </c>
      <c r="C21" s="23">
        <f>29943+35228+91479</f>
        <v>156650</v>
      </c>
      <c r="D21" s="23">
        <f>35934+18763+77723</f>
        <v>132420</v>
      </c>
      <c r="E21" s="2">
        <v>146595</v>
      </c>
      <c r="F21" s="2"/>
      <c r="G21" s="2"/>
      <c r="H21" s="2"/>
      <c r="I21" s="2"/>
    </row>
    <row r="22" spans="1:9">
      <c r="A22" t="s">
        <v>11</v>
      </c>
      <c r="B22" s="23">
        <v>111088</v>
      </c>
      <c r="C22" s="23">
        <v>106629</v>
      </c>
      <c r="D22" s="23">
        <v>98657</v>
      </c>
      <c r="E22" s="2">
        <v>84711</v>
      </c>
      <c r="F22" s="2"/>
      <c r="G22" s="2"/>
      <c r="H22" s="2"/>
      <c r="I22" s="2"/>
    </row>
    <row r="23" spans="1:9">
      <c r="A23" t="s">
        <v>12</v>
      </c>
      <c r="B23" s="27">
        <v>15812.547</v>
      </c>
      <c r="C23" s="38">
        <v>15408.094999999999</v>
      </c>
      <c r="D23" s="39">
        <v>15004.697</v>
      </c>
      <c r="E23" s="2">
        <v>13190</v>
      </c>
      <c r="F23" s="2"/>
      <c r="G23" s="2"/>
      <c r="H23" s="2"/>
      <c r="I23" s="2"/>
    </row>
    <row r="24" spans="1:9">
      <c r="B24" s="2"/>
      <c r="C24" s="2"/>
      <c r="D24" s="2"/>
    </row>
    <row r="25" spans="1:9" ht="21">
      <c r="B25" s="78" t="s">
        <v>60</v>
      </c>
      <c r="C25" s="78"/>
      <c r="D25" s="78"/>
      <c r="E25" s="78"/>
      <c r="F25" s="78"/>
    </row>
    <row r="26" spans="1:9">
      <c r="B26" s="18" t="s">
        <v>23</v>
      </c>
      <c r="C26" s="18" t="s">
        <v>24</v>
      </c>
      <c r="D26" s="18" t="s">
        <v>25</v>
      </c>
      <c r="E26" s="18" t="s">
        <v>26</v>
      </c>
      <c r="F26" s="18" t="s">
        <v>27</v>
      </c>
    </row>
    <row r="27" spans="1:9">
      <c r="A27" t="s">
        <v>1</v>
      </c>
      <c r="B27" s="19">
        <v>0.20100000000000001</v>
      </c>
      <c r="C27" s="19">
        <v>8.4000000000000005E-2</v>
      </c>
      <c r="D27" s="20">
        <v>6.6000000000000003E-2</v>
      </c>
      <c r="E27" s="20">
        <v>5.5E-2</v>
      </c>
      <c r="F27" s="20">
        <v>0.04</v>
      </c>
    </row>
    <row r="28" spans="1:9">
      <c r="A28" t="s">
        <v>5</v>
      </c>
      <c r="B28" s="19">
        <v>0.32400000000000001</v>
      </c>
      <c r="C28" s="20">
        <v>0.32700000000000001</v>
      </c>
      <c r="D28" s="19">
        <v>0.32200000000000001</v>
      </c>
      <c r="E28" s="21">
        <v>0.32</v>
      </c>
      <c r="F28" s="19">
        <v>0.32100000000000001</v>
      </c>
    </row>
    <row r="29" spans="1:9">
      <c r="A29" t="s">
        <v>20</v>
      </c>
      <c r="B29" s="21">
        <v>0.16</v>
      </c>
      <c r="C29" s="21">
        <v>0.16</v>
      </c>
      <c r="D29" s="21">
        <v>0.16</v>
      </c>
      <c r="E29" s="21">
        <v>0.16</v>
      </c>
      <c r="F29" s="21">
        <v>0.16</v>
      </c>
    </row>
    <row r="30" spans="1:9">
      <c r="A30" t="s">
        <v>18</v>
      </c>
      <c r="B30" s="22">
        <v>0.32</v>
      </c>
      <c r="C30" s="22">
        <v>0.314</v>
      </c>
      <c r="D30" s="22">
        <v>0.309</v>
      </c>
      <c r="E30" s="22">
        <v>0.30599999999999999</v>
      </c>
      <c r="F30" s="22">
        <v>0.30399999999999999</v>
      </c>
    </row>
    <row r="31" spans="1:9">
      <c r="A31" t="s">
        <v>21</v>
      </c>
      <c r="B31" s="22">
        <f ca="1">D47</f>
        <v>8.9005658374005384E-2</v>
      </c>
      <c r="C31" s="22">
        <f ca="1">D47</f>
        <v>8.9005658374005384E-2</v>
      </c>
      <c r="D31" s="22">
        <f ca="1">D47</f>
        <v>8.9005658374005384E-2</v>
      </c>
      <c r="E31" s="22">
        <f ca="1">D47</f>
        <v>8.9005658374005384E-2</v>
      </c>
      <c r="F31" s="22">
        <f ca="1">D47</f>
        <v>8.9005658374005384E-2</v>
      </c>
    </row>
    <row r="32" spans="1:9">
      <c r="A32" t="s">
        <v>22</v>
      </c>
      <c r="B32" s="19">
        <v>0.03</v>
      </c>
      <c r="C32" s="19">
        <v>0.03</v>
      </c>
      <c r="D32" s="19">
        <v>0.03</v>
      </c>
      <c r="E32" s="19">
        <v>0.03</v>
      </c>
      <c r="F32" s="19">
        <v>0.03</v>
      </c>
    </row>
    <row r="33" spans="2:11" ht="15" thickBot="1">
      <c r="B33" s="19"/>
      <c r="C33" s="19"/>
      <c r="D33" s="19"/>
      <c r="E33" s="19"/>
      <c r="F33" s="19"/>
    </row>
    <row r="34" spans="2:11" ht="21">
      <c r="B34" s="75" t="s">
        <v>64</v>
      </c>
      <c r="C34" s="76"/>
      <c r="D34" s="77"/>
    </row>
    <row r="35" spans="2:11" ht="18.5">
      <c r="B35" s="28" t="s">
        <v>61</v>
      </c>
      <c r="D35" s="33" t="s">
        <v>34</v>
      </c>
      <c r="G35" s="49"/>
      <c r="H35" s="49"/>
      <c r="I35" s="49"/>
      <c r="J35" s="49"/>
      <c r="K35" s="7"/>
    </row>
    <row r="36" spans="2:11">
      <c r="B36" s="28" t="s">
        <v>30</v>
      </c>
      <c r="C36" t="e" vm="2">
        <v>#VALUE!</v>
      </c>
      <c r="D36" s="29" cm="1">
        <f t="array" aca="1" ref="D36" ca="1">_FV(C36,"Yield last month",TRUE)</f>
        <v>4.4649999999999995E-2</v>
      </c>
      <c r="F36" s="48"/>
    </row>
    <row r="37" spans="2:11">
      <c r="B37" s="28" t="s">
        <v>31</v>
      </c>
      <c r="C37" t="e" vm="1">
        <v>#VALUE!</v>
      </c>
      <c r="D37" s="30" cm="1">
        <f t="array" aca="1" ref="D37" ca="1">_FV(C37,"Beta")</f>
        <v>1.0931999999999999</v>
      </c>
      <c r="F37" s="47"/>
    </row>
    <row r="38" spans="2:11">
      <c r="B38" s="28" t="s">
        <v>32</v>
      </c>
      <c r="D38" s="31">
        <v>4.2299999999999997E-2</v>
      </c>
      <c r="F38" s="47"/>
    </row>
    <row r="39" spans="2:11">
      <c r="B39" s="28" t="s">
        <v>33</v>
      </c>
      <c r="D39" s="31">
        <f ca="1">D36+(D37*D38)</f>
        <v>9.0892359999999991E-2</v>
      </c>
      <c r="F39" s="4"/>
      <c r="G39" s="47"/>
      <c r="H39" s="47"/>
      <c r="I39" s="47"/>
      <c r="J39" s="47"/>
      <c r="K39" s="47"/>
    </row>
    <row r="40" spans="2:11">
      <c r="B40" s="28" t="s">
        <v>35</v>
      </c>
      <c r="D40" s="29">
        <f>1510/((98657+84710)/2)</f>
        <v>1.6469702836388225E-2</v>
      </c>
      <c r="F40" s="4"/>
      <c r="G40" s="47"/>
      <c r="H40" s="47"/>
      <c r="I40" s="47"/>
      <c r="J40" s="47"/>
      <c r="K40" s="47"/>
    </row>
    <row r="41" spans="2:11">
      <c r="B41" s="28" t="s">
        <v>36</v>
      </c>
      <c r="D41" s="32">
        <v>0.16</v>
      </c>
      <c r="F41" s="4"/>
      <c r="G41" s="47"/>
      <c r="H41" s="47"/>
      <c r="I41" s="47"/>
      <c r="J41" s="47"/>
      <c r="K41" s="47"/>
    </row>
    <row r="42" spans="2:11">
      <c r="B42" s="28" t="s">
        <v>37</v>
      </c>
      <c r="D42" s="40">
        <f>298.01*E23</f>
        <v>3930751.9</v>
      </c>
      <c r="F42" s="4"/>
      <c r="G42" s="47"/>
      <c r="H42" s="47"/>
      <c r="I42" s="47"/>
      <c r="J42" s="47"/>
      <c r="K42" s="47"/>
    </row>
    <row r="43" spans="2:11">
      <c r="B43" s="28" t="s">
        <v>38</v>
      </c>
      <c r="D43" s="34">
        <f>D22</f>
        <v>98657</v>
      </c>
    </row>
    <row r="44" spans="2:11">
      <c r="B44" s="28" t="s">
        <v>39</v>
      </c>
      <c r="D44" s="34">
        <f>D42+D43</f>
        <v>4029408.9</v>
      </c>
    </row>
    <row r="45" spans="2:11">
      <c r="B45" s="28" t="s">
        <v>40</v>
      </c>
      <c r="D45" s="29">
        <f>D42/D44</f>
        <v>0.97551576361485681</v>
      </c>
    </row>
    <row r="46" spans="2:11">
      <c r="B46" s="28" t="s">
        <v>41</v>
      </c>
      <c r="D46" s="29">
        <f>D43/D44</f>
        <v>2.448423638514324E-2</v>
      </c>
    </row>
    <row r="47" spans="2:11" ht="15" thickBot="1">
      <c r="B47" s="35" t="s">
        <v>21</v>
      </c>
      <c r="C47" s="36"/>
      <c r="D47" s="41">
        <f ca="1">(D45*D39)+(D46*D40*(1-D41))</f>
        <v>8.9005658374005384E-2</v>
      </c>
    </row>
    <row r="48" spans="2:11" ht="15" thickBot="1">
      <c r="D48" s="6"/>
    </row>
    <row r="49" spans="1:6" ht="21">
      <c r="B49" s="79" t="s">
        <v>62</v>
      </c>
      <c r="C49" s="80"/>
      <c r="D49" s="81"/>
    </row>
    <row r="50" spans="1:6">
      <c r="B50" s="28" t="s">
        <v>44</v>
      </c>
      <c r="D50" s="40">
        <f ca="1">I17*(1+B32)/(D47-B32)</f>
        <v>3362744.1006233101</v>
      </c>
    </row>
    <row r="51" spans="1:6">
      <c r="B51" s="28" t="s">
        <v>46</v>
      </c>
      <c r="D51" s="40">
        <f ca="1">D50*I18</f>
        <v>2195549.0192322247</v>
      </c>
    </row>
    <row r="52" spans="1:6">
      <c r="B52" s="28" t="s">
        <v>45</v>
      </c>
      <c r="D52" s="40">
        <f ca="1">SUM(E19:I19)+D51</f>
        <v>2882397.4213151028</v>
      </c>
    </row>
    <row r="53" spans="1:6">
      <c r="B53" s="28" t="s">
        <v>47</v>
      </c>
      <c r="D53" s="40">
        <f ca="1">D52+E21-E22</f>
        <v>2944281.4213151028</v>
      </c>
    </row>
    <row r="54" spans="1:6" ht="26.5" thickBot="1">
      <c r="B54" s="82" t="s">
        <v>48</v>
      </c>
      <c r="C54" s="83"/>
      <c r="D54" s="84">
        <f ca="1">D53/E23</f>
        <v>223.22072944011393</v>
      </c>
    </row>
    <row r="56" spans="1:6">
      <c r="B56" t="s">
        <v>83</v>
      </c>
    </row>
    <row r="57" spans="1:6">
      <c r="B57" s="45" t="s">
        <v>84</v>
      </c>
      <c r="C57" s="6"/>
      <c r="D57" s="6"/>
      <c r="E57" s="6"/>
      <c r="F57" s="6"/>
    </row>
    <row r="58" spans="1:6">
      <c r="A58" s="7"/>
      <c r="B58" s="45" t="s">
        <v>85</v>
      </c>
    </row>
    <row r="59" spans="1:6">
      <c r="A59" s="6"/>
      <c r="B59" s="45" t="s">
        <v>86</v>
      </c>
    </row>
    <row r="60" spans="1:6">
      <c r="A60" s="6"/>
      <c r="B60" s="45" t="s">
        <v>87</v>
      </c>
    </row>
    <row r="61" spans="1:6">
      <c r="B61" s="45" t="s">
        <v>88</v>
      </c>
    </row>
    <row r="62" spans="1:6">
      <c r="B62" s="45" t="s">
        <v>89</v>
      </c>
    </row>
    <row r="63" spans="1:6">
      <c r="B63" s="45" t="s">
        <v>90</v>
      </c>
    </row>
  </sheetData>
  <mergeCells count="5">
    <mergeCell ref="B49:D49"/>
    <mergeCell ref="B3:D3"/>
    <mergeCell ref="E3:I3"/>
    <mergeCell ref="B34:D34"/>
    <mergeCell ref="B25:F25"/>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7DD2-9946-4A32-8D7B-B800C845227E}">
  <dimension ref="A1:I9"/>
  <sheetViews>
    <sheetView topLeftCell="B1" workbookViewId="0">
      <selection activeCell="C4" sqref="C4"/>
    </sheetView>
  </sheetViews>
  <sheetFormatPr defaultRowHeight="14.5"/>
  <sheetData>
    <row r="1" spans="1:9" ht="15" thickBot="1"/>
    <row r="2" spans="1:9" ht="18.5">
      <c r="B2" s="50"/>
      <c r="C2" s="68" t="s">
        <v>97</v>
      </c>
      <c r="D2" s="68"/>
      <c r="E2" s="68"/>
      <c r="F2" s="69"/>
      <c r="H2" s="6"/>
      <c r="I2" s="4"/>
    </row>
    <row r="3" spans="1:9" ht="16">
      <c r="B3" s="51"/>
      <c r="C3" s="70" t="s">
        <v>98</v>
      </c>
      <c r="D3" s="70"/>
      <c r="E3" s="70"/>
      <c r="F3" s="71"/>
    </row>
    <row r="4" spans="1:9">
      <c r="A4" s="7"/>
      <c r="B4" s="52">
        <f ca="1">'DCF Model'!D54</f>
        <v>223.22072944011393</v>
      </c>
      <c r="C4" s="53">
        <v>0.08</v>
      </c>
      <c r="D4" s="53">
        <v>8.5000000000000006E-2</v>
      </c>
      <c r="E4" s="53">
        <v>0.09</v>
      </c>
      <c r="F4" s="54">
        <v>9.5000000000000001E-2</v>
      </c>
    </row>
    <row r="5" spans="1:9">
      <c r="A5" s="6"/>
      <c r="B5" s="55">
        <v>0.02</v>
      </c>
      <c r="C5" s="47">
        <v>203.84631418804324</v>
      </c>
      <c r="D5" s="47">
        <v>188.33265810084049</v>
      </c>
      <c r="E5" s="47">
        <v>175.03761529855822</v>
      </c>
      <c r="F5" s="56">
        <v>163.51741406594931</v>
      </c>
    </row>
    <row r="6" spans="1:9">
      <c r="A6" s="6"/>
      <c r="B6" s="55">
        <v>2.2499999999999999E-2</v>
      </c>
      <c r="C6" s="47">
        <v>210.83112023387835</v>
      </c>
      <c r="D6" s="47">
        <v>194.15578348414203</v>
      </c>
      <c r="E6" s="47">
        <v>179.95303565304906</v>
      </c>
      <c r="F6" s="56">
        <v>167.71126240821485</v>
      </c>
    </row>
    <row r="7" spans="1:9">
      <c r="A7" s="6"/>
      <c r="B7" s="55">
        <v>2.5000000000000001E-2</v>
      </c>
      <c r="C7" s="47">
        <v>218.45090864751668</v>
      </c>
      <c r="D7" s="47">
        <v>200.46416931605202</v>
      </c>
      <c r="E7" s="47">
        <v>185.24656526557769</v>
      </c>
      <c r="F7" s="56">
        <v>172.20467134635652</v>
      </c>
    </row>
    <row r="8" spans="1:9">
      <c r="A8" s="7"/>
      <c r="B8" s="55">
        <v>2.75E-2</v>
      </c>
      <c r="C8" s="47">
        <v>226.79639119578727</v>
      </c>
      <c r="D8" s="47">
        <v>207.32111043769336</v>
      </c>
      <c r="E8" s="47">
        <v>190.96357724710867</v>
      </c>
      <c r="F8" s="56">
        <v>177.03092539102724</v>
      </c>
    </row>
    <row r="9" spans="1:9" ht="15" thickBot="1">
      <c r="B9" s="57">
        <v>0.03</v>
      </c>
      <c r="C9" s="58">
        <v>235.97642199888486</v>
      </c>
      <c r="D9" s="58">
        <v>214.80140984312024</v>
      </c>
      <c r="E9" s="58">
        <v>197.15700689376717</v>
      </c>
      <c r="F9" s="59">
        <v>182.22842974682646</v>
      </c>
    </row>
  </sheetData>
  <mergeCells count="2">
    <mergeCell ref="C2:F2"/>
    <mergeCell ref="C3:F3"/>
  </mergeCells>
  <conditionalFormatting sqref="C5:F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7FFC-7C05-4EFE-896D-DA547D771A22}">
  <dimension ref="A1"/>
  <sheetViews>
    <sheetView showGridLines="0" zoomScale="90" zoomScaleNormal="90" workbookViewId="0">
      <selection activeCell="J2" sqref="J2"/>
    </sheetView>
  </sheetViews>
  <sheetFormatPr defaultRowHeight="14.5"/>
  <cols>
    <col min="9" max="9" width="12.7265625" customWidth="1"/>
  </cols>
  <sheetData/>
  <printOptions headings="1"/>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DFC3-8B0B-497F-AFAD-FA27EAA8A3FB}">
  <dimension ref="A1:B7"/>
  <sheetViews>
    <sheetView topLeftCell="AZ1" workbookViewId="0">
      <selection activeCell="B9" sqref="B9"/>
    </sheetView>
  </sheetViews>
  <sheetFormatPr defaultRowHeight="14.5"/>
  <cols>
    <col min="1" max="1" width="16" bestFit="1" customWidth="1"/>
    <col min="2" max="2" width="45.453125" bestFit="1" customWidth="1"/>
  </cols>
  <sheetData>
    <row r="1" spans="1:2">
      <c r="A1" t="s">
        <v>70</v>
      </c>
      <c r="B1" t="s">
        <v>71</v>
      </c>
    </row>
    <row r="2" spans="1:2">
      <c r="A2" s="42" t="s">
        <v>76</v>
      </c>
      <c r="B2" t="s">
        <v>72</v>
      </c>
    </row>
    <row r="3" spans="1:2">
      <c r="A3" s="42" t="s">
        <v>77</v>
      </c>
      <c r="B3" t="s">
        <v>73</v>
      </c>
    </row>
    <row r="4" spans="1:2">
      <c r="A4" s="42" t="s">
        <v>78</v>
      </c>
      <c r="B4" t="s">
        <v>73</v>
      </c>
    </row>
    <row r="5" spans="1:2">
      <c r="A5" s="42" t="s">
        <v>79</v>
      </c>
      <c r="B5" t="s">
        <v>74</v>
      </c>
    </row>
    <row r="6" spans="1:2">
      <c r="A6" s="42" t="s">
        <v>80</v>
      </c>
      <c r="B6" t="s">
        <v>75</v>
      </c>
    </row>
    <row r="7" spans="1:2">
      <c r="A7" s="42" t="s">
        <v>81</v>
      </c>
      <c r="B7" t="s">
        <v>32</v>
      </c>
    </row>
  </sheetData>
  <hyperlinks>
    <hyperlink ref="A2" r:id="rId1" xr:uid="{C0B03136-47A7-465F-8EF1-78316F3142D5}"/>
    <hyperlink ref="A3" r:id="rId2" xr:uid="{D9E86213-DF8C-45D5-A819-F6020822785B}"/>
    <hyperlink ref="A4" r:id="rId3" xr:uid="{EDF843E4-61CD-4092-9122-5039A682A624}"/>
    <hyperlink ref="A5" r:id="rId4" xr:uid="{34FF0D3F-7A50-4D1C-801A-27572C261095}"/>
    <hyperlink ref="A6" r:id="rId5" xr:uid="{D6EAEAE7-9C68-441C-9D3A-E4F55F23D0DB}"/>
    <hyperlink ref="A7" r:id="rId6" xr:uid="{595A7059-A9B7-4E07-83C4-C54AFB9617EE}"/>
  </hyperlink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BEED-3256-4986-8FF6-9E2E907A6716}">
  <dimension ref="A1"/>
  <sheetViews>
    <sheetView workbookViewId="0">
      <selection activeCell="J11" sqref="J11"/>
    </sheetView>
  </sheetViews>
  <sheetFormatPr defaultRowHeight="1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FE530-427A-4D17-8ABF-34ED80C13252}">
  <dimension ref="A1:E9"/>
  <sheetViews>
    <sheetView workbookViewId="0">
      <selection activeCell="H15" sqref="H15"/>
    </sheetView>
  </sheetViews>
  <sheetFormatPr defaultRowHeight="14.5"/>
  <cols>
    <col min="1" max="1" width="6.81640625" bestFit="1" customWidth="1"/>
    <col min="2" max="2" width="12.7265625" bestFit="1" customWidth="1"/>
    <col min="3" max="3" width="11.1796875" bestFit="1" customWidth="1"/>
    <col min="4" max="4" width="18.08984375" bestFit="1" customWidth="1"/>
    <col min="5" max="5" width="15.81640625" bestFit="1" customWidth="1"/>
  </cols>
  <sheetData>
    <row r="1" spans="1:5">
      <c r="A1" t="s">
        <v>65</v>
      </c>
      <c r="B1" t="s">
        <v>102</v>
      </c>
      <c r="C1" t="s">
        <v>0</v>
      </c>
      <c r="D1" t="s">
        <v>4</v>
      </c>
      <c r="E1" t="s">
        <v>9</v>
      </c>
    </row>
    <row r="2" spans="1:5">
      <c r="A2">
        <v>2023</v>
      </c>
      <c r="B2" t="s">
        <v>103</v>
      </c>
      <c r="C2" s="1">
        <f>'DCF Model'!$B$5</f>
        <v>383285</v>
      </c>
      <c r="D2" s="1">
        <f>'DCF Model'!$B$9</f>
        <v>114301</v>
      </c>
      <c r="E2" s="1">
        <f>'DCF Model'!$B$17</f>
        <v>99584</v>
      </c>
    </row>
    <row r="3" spans="1:5">
      <c r="A3">
        <v>2024</v>
      </c>
      <c r="B3" t="s">
        <v>103</v>
      </c>
      <c r="C3" s="1">
        <f>'DCF Model'!$C$5</f>
        <v>391035</v>
      </c>
      <c r="D3" s="1">
        <f>'DCF Model'!$C$9</f>
        <v>123216</v>
      </c>
      <c r="E3" s="1">
        <f>'DCF Model'!$C$17</f>
        <v>108807</v>
      </c>
    </row>
    <row r="4" spans="1:5">
      <c r="A4">
        <v>2025</v>
      </c>
      <c r="B4" t="s">
        <v>103</v>
      </c>
      <c r="C4" s="1">
        <f>'DCF Model'!$D$5</f>
        <v>416161</v>
      </c>
      <c r="D4" s="1">
        <f>'DCF Model'!$D$9</f>
        <v>133050</v>
      </c>
      <c r="E4" s="1">
        <f>'DCF Model'!$D$17</f>
        <v>98767</v>
      </c>
    </row>
    <row r="5" spans="1:5">
      <c r="A5">
        <v>2026</v>
      </c>
      <c r="B5" t="s">
        <v>104</v>
      </c>
      <c r="C5" s="1">
        <f>'DCF Model'!$E$5</f>
        <v>499809.36100000003</v>
      </c>
      <c r="D5" s="1">
        <f>'DCF Model'!$E$9</f>
        <v>161938.23296400002</v>
      </c>
      <c r="E5" s="1">
        <f>'DCF Model'!$E$17</f>
        <v>159938.99552000003</v>
      </c>
    </row>
    <row r="6" spans="1:5">
      <c r="A6">
        <v>2027</v>
      </c>
      <c r="B6" t="s">
        <v>104</v>
      </c>
      <c r="C6" s="1">
        <f>'DCF Model'!$F$5</f>
        <v>541793.34732400009</v>
      </c>
      <c r="D6" s="1">
        <f>'DCF Model'!$F$9</f>
        <v>177166.42457494803</v>
      </c>
      <c r="E6" s="1">
        <f>'DCF Model'!$F$17</f>
        <v>170123.11105973602</v>
      </c>
    </row>
    <row r="7" spans="1:5">
      <c r="A7">
        <v>2028</v>
      </c>
      <c r="B7" t="s">
        <v>104</v>
      </c>
      <c r="C7" s="1">
        <f>'DCF Model'!$G$5</f>
        <v>577551.70824738417</v>
      </c>
      <c r="D7" s="1">
        <f>'DCF Model'!$G$9</f>
        <v>185971.65005565772</v>
      </c>
      <c r="E7" s="1">
        <f>'DCF Model'!$G$17</f>
        <v>178463.47784844172</v>
      </c>
    </row>
    <row r="8" spans="1:5">
      <c r="A8">
        <v>2029</v>
      </c>
      <c r="B8" t="s">
        <v>104</v>
      </c>
      <c r="C8" s="1">
        <f>'DCF Model'!$H$5</f>
        <v>609317.05220099026</v>
      </c>
      <c r="D8" s="1">
        <f>'DCF Model'!$H$9</f>
        <v>194981.45670431689</v>
      </c>
      <c r="E8" s="1">
        <f>'DCF Model'!$H$17</f>
        <v>186451.01797350301</v>
      </c>
    </row>
    <row r="9" spans="1:5">
      <c r="A9">
        <v>2030</v>
      </c>
      <c r="B9" t="s">
        <v>104</v>
      </c>
      <c r="C9" s="1">
        <f>'DCF Model'!$I$5</f>
        <v>633689.73428902985</v>
      </c>
      <c r="D9" s="1">
        <f>'DCF Model'!$I$9</f>
        <v>203414.40470677859</v>
      </c>
      <c r="E9" s="1">
        <f>'DCF Model'!$I$17</f>
        <v>192641.67922386507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DD0C-971A-4913-9CF4-01F2D92CC17B}">
  <dimension ref="A1:D10"/>
  <sheetViews>
    <sheetView topLeftCell="A2" workbookViewId="0">
      <selection activeCell="D19" sqref="D19"/>
    </sheetView>
  </sheetViews>
  <sheetFormatPr defaultRowHeight="14.5"/>
  <cols>
    <col min="1" max="1" width="18.26953125" bestFit="1" customWidth="1"/>
    <col min="4" max="4" width="93.7265625" bestFit="1" customWidth="1"/>
  </cols>
  <sheetData>
    <row r="1" spans="1:4">
      <c r="A1" t="s">
        <v>92</v>
      </c>
      <c r="B1" t="s">
        <v>34</v>
      </c>
      <c r="C1" t="s">
        <v>105</v>
      </c>
      <c r="D1" t="s">
        <v>106</v>
      </c>
    </row>
    <row r="2" spans="1:4">
      <c r="A2" t="s">
        <v>30</v>
      </c>
      <c r="B2" s="6">
        <f ca="1">'DCF Model'!D36</f>
        <v>4.4649999999999995E-2</v>
      </c>
      <c r="C2" t="s">
        <v>107</v>
      </c>
      <c r="D2" t="s">
        <v>112</v>
      </c>
    </row>
    <row r="3" spans="1:4">
      <c r="A3" t="s">
        <v>31</v>
      </c>
      <c r="B3" s="63">
        <f ca="1">'DCF Model'!D37</f>
        <v>1.0931999999999999</v>
      </c>
      <c r="C3" t="s">
        <v>108</v>
      </c>
      <c r="D3" t="s">
        <v>113</v>
      </c>
    </row>
    <row r="4" spans="1:4">
      <c r="A4" t="s">
        <v>32</v>
      </c>
      <c r="B4" s="6">
        <f>'DCF Model'!D38</f>
        <v>4.2299999999999997E-2</v>
      </c>
      <c r="C4" t="s">
        <v>107</v>
      </c>
      <c r="D4" t="s">
        <v>114</v>
      </c>
    </row>
    <row r="5" spans="1:4">
      <c r="A5" t="s">
        <v>36</v>
      </c>
      <c r="B5" s="64">
        <f>'DCF Model'!D41</f>
        <v>0.16</v>
      </c>
      <c r="C5" t="s">
        <v>107</v>
      </c>
      <c r="D5" t="s">
        <v>115</v>
      </c>
    </row>
    <row r="6" spans="1:4">
      <c r="A6" t="s">
        <v>22</v>
      </c>
      <c r="B6" s="3">
        <f>'DCF Model'!B32</f>
        <v>0.03</v>
      </c>
      <c r="C6" t="s">
        <v>107</v>
      </c>
      <c r="D6" t="s">
        <v>116</v>
      </c>
    </row>
    <row r="7" spans="1:4">
      <c r="A7" t="s">
        <v>33</v>
      </c>
      <c r="B7" s="6">
        <f ca="1">'DCF Model'!D39</f>
        <v>9.0892359999999991E-2</v>
      </c>
      <c r="C7" t="s">
        <v>107</v>
      </c>
      <c r="D7" t="s">
        <v>117</v>
      </c>
    </row>
    <row r="8" spans="1:4">
      <c r="A8" t="s">
        <v>35</v>
      </c>
      <c r="B8" s="6">
        <f>'DCF Model'!D40</f>
        <v>1.6469702836388225E-2</v>
      </c>
      <c r="C8" t="s">
        <v>107</v>
      </c>
      <c r="D8" t="s">
        <v>118</v>
      </c>
    </row>
    <row r="9" spans="1:4">
      <c r="A9" t="s">
        <v>40</v>
      </c>
      <c r="B9" s="6">
        <f>'DCF Model'!D45</f>
        <v>0.97551576361485681</v>
      </c>
      <c r="C9" t="s">
        <v>107</v>
      </c>
      <c r="D9" t="s">
        <v>119</v>
      </c>
    </row>
    <row r="10" spans="1:4">
      <c r="A10" t="s">
        <v>41</v>
      </c>
      <c r="B10" s="6">
        <f>'DCF Model'!D46</f>
        <v>2.448423638514324E-2</v>
      </c>
      <c r="C10" t="s">
        <v>107</v>
      </c>
      <c r="D10" t="s">
        <v>120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077CA-CA78-4D74-B199-F4DDE6A86720}">
  <dimension ref="A1:F6"/>
  <sheetViews>
    <sheetView topLeftCell="C1" workbookViewId="0">
      <selection activeCell="H15" sqref="H15"/>
    </sheetView>
  </sheetViews>
  <sheetFormatPr defaultRowHeight="14.5"/>
  <cols>
    <col min="2" max="2" width="16.453125" customWidth="1"/>
    <col min="3" max="3" width="17" customWidth="1"/>
    <col min="4" max="4" width="12.08984375" customWidth="1"/>
    <col min="5" max="5" width="9.90625" bestFit="1" customWidth="1"/>
    <col min="6" max="7" width="13.6328125" bestFit="1" customWidth="1"/>
  </cols>
  <sheetData>
    <row r="1" spans="1:6">
      <c r="A1" t="s">
        <v>65</v>
      </c>
      <c r="B1" t="s">
        <v>109</v>
      </c>
      <c r="C1" t="s">
        <v>110</v>
      </c>
      <c r="D1" t="s">
        <v>111</v>
      </c>
    </row>
    <row r="2" spans="1:6">
      <c r="A2">
        <v>2026</v>
      </c>
      <c r="B2" s="65">
        <f>'DCF Model'!B27</f>
        <v>0.20100000000000001</v>
      </c>
      <c r="C2" s="3">
        <f>'DCF Model'!B28</f>
        <v>0.32400000000000001</v>
      </c>
      <c r="D2" s="3">
        <f>'DCF Model'!B30</f>
        <v>0.32</v>
      </c>
      <c r="E2" s="66"/>
      <c r="F2" s="66"/>
    </row>
    <row r="3" spans="1:6">
      <c r="A3">
        <v>2027</v>
      </c>
      <c r="B3" s="3">
        <f>'DCF Model'!C27</f>
        <v>8.4000000000000005E-2</v>
      </c>
      <c r="C3" s="3">
        <f>'DCF Model'!C28</f>
        <v>0.32700000000000001</v>
      </c>
      <c r="D3" s="3">
        <f>'DCF Model'!C30</f>
        <v>0.314</v>
      </c>
      <c r="E3" s="66"/>
      <c r="F3" s="66"/>
    </row>
    <row r="4" spans="1:6">
      <c r="A4">
        <v>2028</v>
      </c>
      <c r="B4" s="3">
        <f>'DCF Model'!D27</f>
        <v>6.6000000000000003E-2</v>
      </c>
      <c r="C4" s="3">
        <f>'DCF Model'!D28</f>
        <v>0.32200000000000001</v>
      </c>
      <c r="D4" s="3">
        <f>'DCF Model'!D30</f>
        <v>0.309</v>
      </c>
      <c r="E4" s="66"/>
      <c r="F4" s="66"/>
    </row>
    <row r="5" spans="1:6">
      <c r="A5">
        <v>2029</v>
      </c>
      <c r="B5" s="3">
        <f>'DCF Model'!E27</f>
        <v>5.5E-2</v>
      </c>
      <c r="C5" s="3">
        <f>'DCF Model'!E28</f>
        <v>0.32</v>
      </c>
      <c r="D5" s="3">
        <f>'DCF Model'!E30</f>
        <v>0.30599999999999999</v>
      </c>
      <c r="E5" s="66"/>
      <c r="F5" s="66"/>
    </row>
    <row r="6" spans="1:6">
      <c r="A6">
        <v>2030</v>
      </c>
      <c r="B6" s="3">
        <f>'DCF Model'!F27</f>
        <v>0.04</v>
      </c>
      <c r="C6" s="3">
        <f>'DCF Model'!F28</f>
        <v>0.32100000000000001</v>
      </c>
      <c r="D6" s="3">
        <f>'DCF Model'!F30</f>
        <v>0.30399999999999999</v>
      </c>
      <c r="E6" s="66"/>
      <c r="F6" s="6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8C5E-0B2F-4DA4-AFFB-00616D11809C}">
  <dimension ref="A1:E6"/>
  <sheetViews>
    <sheetView workbookViewId="0">
      <selection activeCell="H18" sqref="H18"/>
    </sheetView>
  </sheetViews>
  <sheetFormatPr defaultRowHeight="14.5"/>
  <cols>
    <col min="1" max="1" width="19" customWidth="1"/>
    <col min="2" max="2" width="14.90625" customWidth="1"/>
    <col min="3" max="3" width="8.7265625" customWidth="1"/>
    <col min="5" max="5" width="16.54296875" customWidth="1"/>
  </cols>
  <sheetData>
    <row r="1" spans="1:5">
      <c r="A1" t="s">
        <v>54</v>
      </c>
      <c r="B1" t="s">
        <v>101</v>
      </c>
      <c r="C1" t="s">
        <v>121</v>
      </c>
      <c r="D1" t="s">
        <v>21</v>
      </c>
      <c r="E1" t="s">
        <v>93</v>
      </c>
    </row>
    <row r="2" spans="1:5">
      <c r="A2" s="9">
        <f ca="1">Summary!E8</f>
        <v>315.32</v>
      </c>
      <c r="B2" s="9">
        <f ca="1">Summary!E9</f>
        <v>223.22072944011393</v>
      </c>
      <c r="C2" s="3">
        <f ca="1">Summary!E10</f>
        <v>-0.29208191855856291</v>
      </c>
      <c r="D2" s="6">
        <f ca="1">Summary!E13</f>
        <v>8.9005658374005384E-2</v>
      </c>
      <c r="E2" s="3">
        <f>Summary!E14</f>
        <v>0.03</v>
      </c>
    </row>
    <row r="3" spans="1:5">
      <c r="B3" s="9"/>
    </row>
    <row r="4" spans="1:5">
      <c r="B4" s="3"/>
    </row>
    <row r="5" spans="1:5">
      <c r="B5" s="6"/>
    </row>
    <row r="6" spans="1:5">
      <c r="B6" s="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0673-9EDF-48B3-B83D-164BB1C1B967}">
  <dimension ref="A1:B6"/>
  <sheetViews>
    <sheetView workbookViewId="0">
      <selection activeCell="G11" sqref="G11"/>
    </sheetView>
  </sheetViews>
  <sheetFormatPr defaultRowHeight="14.5"/>
  <cols>
    <col min="1" max="1" width="18.453125" bestFit="1" customWidth="1"/>
  </cols>
  <sheetData>
    <row r="1" spans="1:2">
      <c r="A1" t="s">
        <v>122</v>
      </c>
      <c r="B1" t="s">
        <v>34</v>
      </c>
    </row>
    <row r="2" spans="1:2">
      <c r="A2" t="s">
        <v>45</v>
      </c>
      <c r="B2">
        <f ca="1">'DCF Model'!D52</f>
        <v>2882397.4213151028</v>
      </c>
    </row>
    <row r="3" spans="1:2">
      <c r="A3" t="s">
        <v>47</v>
      </c>
      <c r="B3">
        <f ca="1">'DCF Model'!D53</f>
        <v>2944281.4213151028</v>
      </c>
    </row>
    <row r="4" spans="1:2">
      <c r="A4" t="s">
        <v>123</v>
      </c>
      <c r="B4" s="9">
        <f ca="1">'DCF Model'!D54</f>
        <v>223.22072944011393</v>
      </c>
    </row>
    <row r="5" spans="1:2">
      <c r="A5" t="s">
        <v>124</v>
      </c>
      <c r="B5" s="9">
        <f ca="1">Summary!E8</f>
        <v>315.32</v>
      </c>
    </row>
    <row r="6" spans="1:2">
      <c r="A6" t="s">
        <v>125</v>
      </c>
      <c r="B6" s="65">
        <f ca="1">Summary!E10</f>
        <v>-0.29208191855856291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829B-4072-4D0C-B238-FCA9C861FD0B}">
  <dimension ref="A1:B6"/>
  <sheetViews>
    <sheetView workbookViewId="0">
      <selection activeCell="E11" sqref="E11"/>
    </sheetView>
  </sheetViews>
  <sheetFormatPr defaultRowHeight="14.5"/>
  <cols>
    <col min="1" max="1" width="14.08984375" bestFit="1" customWidth="1"/>
    <col min="2" max="2" width="13.81640625" bestFit="1" customWidth="1"/>
  </cols>
  <sheetData>
    <row r="1" spans="1:2">
      <c r="A1" t="s">
        <v>126</v>
      </c>
      <c r="B1" t="s">
        <v>34</v>
      </c>
    </row>
    <row r="2" spans="1:2">
      <c r="A2" t="s">
        <v>45</v>
      </c>
      <c r="B2" s="67">
        <f ca="1">'DCF Model'!D52</f>
        <v>2882397.4213151028</v>
      </c>
    </row>
    <row r="3" spans="1:2">
      <c r="A3" t="s">
        <v>127</v>
      </c>
      <c r="B3" s="67">
        <f>'DCF Model'!E21</f>
        <v>146595</v>
      </c>
    </row>
    <row r="4" spans="1:2">
      <c r="A4" t="s">
        <v>128</v>
      </c>
      <c r="B4" s="67">
        <f>'DCF Model'!E22</f>
        <v>84711</v>
      </c>
    </row>
    <row r="5" spans="1:2">
      <c r="A5" t="s">
        <v>47</v>
      </c>
      <c r="B5" s="67">
        <f ca="1">'DCF Model'!D53</f>
        <v>2944281.4213151028</v>
      </c>
    </row>
    <row r="6" spans="1:2">
      <c r="A6" t="s">
        <v>101</v>
      </c>
      <c r="B6" s="8">
        <f ca="1">'DCF Model'!D54</f>
        <v>223.22072944011393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DCF Model</vt:lpstr>
      <vt:lpstr>Sensitivity Analysis</vt:lpstr>
      <vt:lpstr>Investment Thesis</vt:lpstr>
      <vt:lpstr>Sources</vt:lpstr>
      <vt:lpstr>Analyst Disclaimer</vt:lpstr>
      <vt:lpstr>PowerBI_Data</vt:lpstr>
      <vt:lpstr>PowerBI_GlobalAssumptions</vt:lpstr>
      <vt:lpstr>PowerBI_ForecastAssumptions</vt:lpstr>
      <vt:lpstr>PowerBI_Valuation</vt:lpstr>
      <vt:lpstr>PowerBI_Summary</vt:lpstr>
      <vt:lpstr>PowerBI_ValuationBridge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kaleik cook</dc:creator>
  <cp:lastModifiedBy>kaleik cook</cp:lastModifiedBy>
  <cp:lastPrinted>2026-06-23T21:45:12Z</cp:lastPrinted>
  <dcterms:created xsi:type="dcterms:W3CDTF">2026-06-21T03:38:35Z</dcterms:created>
  <dcterms:modified xsi:type="dcterms:W3CDTF">2026-07-13T00:14:09Z</dcterms:modified>
</cp:coreProperties>
</file>